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분기별매출타겟" sheetId="2" state="visible" r:id="rId4"/>
    <sheet name="02_카테고리마스터" sheetId="3" state="visible" r:id="rId5"/>
    <sheet name="03_트렌드캡슐" sheetId="4" state="visible" r:id="rId6"/>
    <sheet name="04_채널" sheetId="5" state="visible" r:id="rId7"/>
    <sheet name="05_오프라인매장" sheetId="6" state="visible" r:id="rId8"/>
    <sheet name="06_재고정책파라미터" sheetId="7" state="visible" r:id="rId9"/>
    <sheet name="07_프로모션캘린더" sheetId="8" state="visible" r:id="rId10"/>
    <sheet name="08_공급망이슈시나리오" sheetId="9" state="visible" r:id="rId11"/>
    <sheet name="09_SKU변경이력" sheetId="10" state="visible" r:id="rId12"/>
    <sheet name="10_조직확장계획" sheetId="11" state="visible" r:id="rId13"/>
    <sheet name="11_가상인력" sheetId="12" state="visible" r:id="rId14"/>
    <sheet name="12_홀세일파트너" sheetId="13" state="visible" r:id="rId15"/>
    <sheet name="13_실행결과요약" sheetId="14" state="visible" r:id="rId16"/>
    <sheet name="14_디자인라인업" sheetId="15" state="visible" r:id="rId17"/>
    <sheet name="15_인기도티어검증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<sst xmlns="http://schemas.openxmlformats.org/spreadsheetml/2006/main" count="613" uniqueCount="414">
  <si>
    <r>
      <rPr>
        <b val="true"/>
        <sz val="16"/>
        <color rgb="FF1C1A2B"/>
        <rFont val="Arial"/>
        <family val="0"/>
        <charset val="1"/>
      </rPr>
      <t xml:space="preserve">NQNQ </t>
    </r>
    <r>
      <rPr>
        <b val="true"/>
        <sz val="16"/>
        <color rgb="FF1C1A2B"/>
        <rFont val="Noto Sans CJK SC"/>
        <family val="2"/>
      </rPr>
      <t xml:space="preserve">가상데이터 타임라인 마스터 시트</t>
    </r>
  </si>
  <si>
    <r>
      <rPr>
        <sz val="10"/>
        <rFont val="Noto Sans CJK SC"/>
        <family val="2"/>
      </rPr>
      <t xml:space="preserve">목적</t>
    </r>
    <r>
      <rPr>
        <sz val="10"/>
        <rFont val="Arial"/>
        <family val="0"/>
        <charset val="1"/>
      </rPr>
      <t xml:space="preserve">: generate_v4.py / generate_v4_miss.py / add_wholesale.py</t>
    </r>
    <r>
      <rPr>
        <sz val="10"/>
        <rFont val="Noto Sans CJK SC"/>
        <family val="2"/>
      </rPr>
      <t xml:space="preserve">에 하드코딩된 모든 파라미터를</t>
    </r>
  </si>
  <si>
    <r>
      <rPr>
        <sz val="10"/>
        <rFont val="Noto Sans CJK SC"/>
        <family val="2"/>
      </rPr>
      <t xml:space="preserve">하나의 엑셀로 추출한 문서입니다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자동 생성기를 만들 때 이 파일을 파싱하는 소스로 사용하세요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</si>
  <si>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버전</t>
    </r>
    <r>
      <rPr>
        <sz val="10"/>
        <rFont val="Arial"/>
        <family val="0"/>
        <charset val="1"/>
      </rPr>
      <t xml:space="preserve">: v2.0 (2026-08-17) — </t>
    </r>
    <r>
      <rPr>
        <sz val="10"/>
        <rFont val="Noto Sans CJK SC"/>
        <family val="2"/>
      </rPr>
      <t xml:space="preserve">볼트 </t>
    </r>
    <r>
      <rPr>
        <sz val="10"/>
        <rFont val="Arial"/>
        <family val="0"/>
        <charset val="1"/>
      </rPr>
      <t xml:space="preserve">v0.24 </t>
    </r>
    <r>
      <rPr>
        <sz val="10"/>
        <rFont val="Noto Sans CJK SC"/>
        <family val="2"/>
      </rPr>
      <t xml:space="preserve">시점 기준 </t>
    </r>
    <r>
      <rPr>
        <sz val="10"/>
        <rFont val="Arial"/>
        <family val="0"/>
        <charset val="1"/>
      </rPr>
      <t xml:space="preserve">(SKU </t>
    </r>
    <r>
      <rPr>
        <sz val="10"/>
        <rFont val="Noto Sans CJK SC"/>
        <family val="2"/>
      </rPr>
      <t xml:space="preserve">확장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인기도 티어 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</si>
  <si>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관련 볼트 문서</t>
    </r>
    <r>
      <rPr>
        <sz val="10"/>
        <rFont val="Arial"/>
        <family val="0"/>
        <charset val="1"/>
      </rPr>
      <t xml:space="preserve">: 70. Data Model &amp; Architecture, 80. Project Management</t>
    </r>
  </si>
  <si>
    <r>
      <rPr>
        <sz val="10"/>
        <rFont val="Noto Sans CJK SC"/>
        <family val="2"/>
      </rPr>
      <t xml:space="preserve">시트 구성</t>
    </r>
    <r>
      <rPr>
        <sz val="10"/>
        <rFont val="Arial"/>
        <family val="0"/>
        <charset val="1"/>
      </rPr>
      <t xml:space="preserve">:</t>
    </r>
  </si>
  <si>
    <r>
      <rPr>
        <b val="true"/>
        <sz val="10"/>
        <rFont val="Arial"/>
        <family val="0"/>
        <charset val="1"/>
      </rPr>
      <t xml:space="preserve">  01_</t>
    </r>
    <r>
      <rPr>
        <b val="true"/>
        <sz val="10"/>
        <rFont val="Noto Sans CJK SC"/>
        <family val="2"/>
      </rPr>
      <t xml:space="preserve">분기별매출타겟      </t>
    </r>
    <r>
      <rPr>
        <b val="true"/>
        <sz val="10"/>
        <rFont val="Arial"/>
        <family val="0"/>
        <charset val="1"/>
      </rPr>
      <t xml:space="preserve">QUARTERS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(10</t>
    </r>
    <r>
      <rPr>
        <b val="true"/>
        <sz val="10"/>
        <rFont val="Noto Sans CJK SC"/>
        <family val="2"/>
      </rPr>
      <t xml:space="preserve">개 분기</t>
    </r>
    <r>
      <rPr>
        <b val="true"/>
        <sz val="10"/>
        <rFont val="Arial"/>
        <family val="0"/>
        <charset val="1"/>
      </rPr>
      <t xml:space="preserve">, Y1 100</t>
    </r>
    <r>
      <rPr>
        <b val="true"/>
        <sz val="10"/>
        <rFont val="Noto Sans CJK SC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/Y2 400</t>
    </r>
    <r>
      <rPr>
        <b val="true"/>
        <sz val="10"/>
        <rFont val="Noto Sans CJK SC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/Y3 1,000</t>
    </r>
    <r>
      <rPr>
        <b val="true"/>
        <sz val="10"/>
        <rFont val="Noto Sans CJK SC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</si>
  <si>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02_</t>
    </r>
    <r>
      <rPr>
        <b val="true"/>
        <sz val="10"/>
        <rFont val="Noto Sans CJK SC"/>
        <family val="2"/>
      </rPr>
      <t xml:space="preserve">카테고리마스터      </t>
    </r>
    <r>
      <rPr>
        <b val="true"/>
        <sz val="10"/>
        <rFont val="Arial"/>
        <family val="0"/>
        <charset val="1"/>
      </rPr>
      <t xml:space="preserve">CATEGORIES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디자인 수 반영 </t>
    </r>
    <r>
      <rPr>
        <b val="true"/>
        <sz val="10"/>
        <rFont val="Arial"/>
        <family val="0"/>
        <charset val="1"/>
      </rPr>
      <t xml:space="preserve">SKU </t>
    </r>
    <r>
      <rPr>
        <b val="true"/>
        <sz val="10"/>
        <rFont val="Noto Sans CJK SC"/>
        <family val="2"/>
      </rPr>
      <t xml:space="preserve">계산식</t>
    </r>
    <r>
      <rPr>
        <b val="true"/>
        <sz val="10"/>
        <rFont val="Arial"/>
        <family val="0"/>
        <charset val="1"/>
      </rPr>
      <t xml:space="preserve">, 2026.08 </t>
    </r>
    <r>
      <rPr>
        <b val="true"/>
        <sz val="10"/>
        <rFont val="Noto Sans CJK SC"/>
        <family val="2"/>
      </rPr>
      <t xml:space="preserve">개정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</si>
  <si>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03_</t>
    </r>
    <r>
      <rPr>
        <b val="true"/>
        <sz val="10"/>
        <rFont val="Noto Sans CJK SC"/>
        <family val="2"/>
      </rPr>
      <t xml:space="preserve">트렌드캡슐          </t>
    </r>
    <r>
      <rPr>
        <b val="true"/>
        <sz val="10"/>
        <rFont val="Arial"/>
        <family val="0"/>
        <charset val="1"/>
      </rPr>
      <t xml:space="preserve">TREND_CAPSULES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(6</t>
    </r>
    <r>
      <rPr>
        <b val="true"/>
        <sz val="10"/>
        <rFont val="Noto Sans CJK SC"/>
        <family val="2"/>
      </rPr>
      <t xml:space="preserve">개 캡슐 출시일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단종일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</si>
  <si>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04_</t>
    </r>
    <r>
      <rPr>
        <b val="true"/>
        <sz val="10"/>
        <rFont val="Noto Sans CJK SC"/>
        <family val="2"/>
      </rPr>
      <t xml:space="preserve">채널                </t>
    </r>
    <r>
      <rPr>
        <b val="true"/>
        <sz val="10"/>
        <rFont val="Arial"/>
        <family val="0"/>
        <charset val="1"/>
      </rPr>
      <t xml:space="preserve">CHANNEL </t>
    </r>
    <r>
      <rPr>
        <b val="true"/>
        <sz val="10"/>
        <rFont val="Noto Sans CJK SC"/>
        <family val="2"/>
      </rPr>
      <t xml:space="preserve">테이블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지그재그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오프라인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홀세일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</si>
  <si>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05_</t>
    </r>
    <r>
      <rPr>
        <b val="true"/>
        <sz val="10"/>
        <rFont val="Noto Sans CJK SC"/>
        <family val="2"/>
      </rPr>
      <t xml:space="preserve">오프라인매장        </t>
    </r>
    <r>
      <rPr>
        <b val="true"/>
        <sz val="10"/>
        <rFont val="Arial"/>
        <family val="0"/>
        <charset val="1"/>
      </rPr>
      <t xml:space="preserve">STORES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(4</t>
    </r>
    <r>
      <rPr>
        <b val="true"/>
        <sz val="10"/>
        <rFont val="Noto Sans CJK SC"/>
        <family val="2"/>
      </rPr>
      <t xml:space="preserve">개 매장 오픈일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</si>
  <si>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06_</t>
    </r>
    <r>
      <rPr>
        <b val="true"/>
        <sz val="10"/>
        <rFont val="Noto Sans CJK SC"/>
        <family val="2"/>
      </rPr>
      <t xml:space="preserve">재고정책파라미터    동적 재고정책 상수 </t>
    </r>
    <r>
      <rPr>
        <b val="true"/>
        <sz val="10"/>
        <rFont val="Arial"/>
        <family val="0"/>
        <charset val="1"/>
      </rPr>
      <t xml:space="preserve">(LEAD_TIME_DAYS, REORDER_BUFFER </t>
    </r>
    <r>
      <rPr>
        <b val="true"/>
        <sz val="10"/>
        <rFont val="Noto Sans CJK SC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</si>
  <si>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07_</t>
    </r>
    <r>
      <rPr>
        <b val="true"/>
        <sz val="10"/>
        <rFont val="Noto Sans CJK SC"/>
        <family val="2"/>
      </rPr>
      <t xml:space="preserve">프로모션캘린더      </t>
    </r>
    <r>
      <rPr>
        <b val="true"/>
        <sz val="10"/>
        <rFont val="Arial"/>
        <family val="0"/>
        <charset val="1"/>
      </rPr>
      <t xml:space="preserve">PROMO_WINDOWS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(4</t>
    </r>
    <r>
      <rPr>
        <b val="true"/>
        <sz val="10"/>
        <rFont val="Noto Sans CJK SC"/>
        <family val="2"/>
      </rPr>
      <t xml:space="preserve">개 프로모션 배수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</si>
  <si>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08_</t>
    </r>
    <r>
      <rPr>
        <b val="true"/>
        <sz val="10"/>
        <rFont val="Noto Sans CJK SC"/>
        <family val="2"/>
      </rPr>
      <t xml:space="preserve">공급망이슈시나리오  </t>
    </r>
    <r>
      <rPr>
        <b val="true"/>
        <sz val="10"/>
        <rFont val="Arial"/>
        <family val="0"/>
        <charset val="1"/>
      </rPr>
      <t xml:space="preserve">DISRUPTION_WINDOWS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미달 시나리오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일별타겟 직접축소 방식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</si>
  <si>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09_SKU</t>
    </r>
    <r>
      <rPr>
        <sz val="10"/>
        <rFont val="Noto Sans CJK SC"/>
        <family val="2"/>
      </rPr>
      <t xml:space="preserve">변경이력         시즌별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증감 로그 </t>
    </r>
    <r>
      <rPr>
        <sz val="10"/>
        <rFont val="Arial"/>
        <family val="0"/>
        <charset val="1"/>
      </rPr>
      <t xml:space="preserve">(26.SKU Change History </t>
    </r>
    <r>
      <rPr>
        <sz val="10"/>
        <rFont val="Noto Sans CJK SC"/>
        <family val="2"/>
      </rPr>
      <t xml:space="preserve">동기화</t>
    </r>
    <r>
      <rPr>
        <sz val="10"/>
        <rFont val="Arial"/>
        <family val="0"/>
        <charset val="1"/>
      </rPr>
      <t xml:space="preserve">, S05.5 </t>
    </r>
    <r>
      <rPr>
        <sz val="10"/>
        <rFont val="Noto Sans CJK SC"/>
        <family val="2"/>
      </rPr>
      <t xml:space="preserve">리밸런싱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</si>
  <si>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10_</t>
    </r>
    <r>
      <rPr>
        <sz val="10"/>
        <rFont val="Noto Sans CJK SC"/>
        <family val="2"/>
      </rPr>
      <t xml:space="preserve">조직확장계획        팀 규모 성장 계획 </t>
    </r>
    <r>
      <rPr>
        <sz val="10"/>
        <rFont val="Arial"/>
        <family val="0"/>
        <charset val="1"/>
      </rPr>
      <t xml:space="preserve">(52.Organization &amp; Team Structure </t>
    </r>
    <r>
      <rPr>
        <sz val="10"/>
        <rFont val="Noto Sans CJK SC"/>
        <family val="2"/>
      </rPr>
      <t xml:space="preserve">동기화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</si>
  <si>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11_</t>
    </r>
    <r>
      <rPr>
        <sz val="10"/>
        <rFont val="Noto Sans CJK SC"/>
        <family val="2"/>
      </rPr>
      <t xml:space="preserve">가상인력            가상 직원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명 프로필 </t>
    </r>
    <r>
      <rPr>
        <sz val="10"/>
        <rFont val="Arial"/>
        <family val="0"/>
        <charset val="1"/>
      </rPr>
      <t xml:space="preserve">(53.Virtual Team Profiles </t>
    </r>
    <r>
      <rPr>
        <sz val="10"/>
        <rFont val="Noto Sans CJK SC"/>
        <family val="2"/>
      </rPr>
      <t xml:space="preserve">동기화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</si>
  <si>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12_</t>
    </r>
    <r>
      <rPr>
        <sz val="10"/>
        <rFont val="Noto Sans CJK SC"/>
        <family val="2"/>
      </rPr>
      <t xml:space="preserve">홀세일파트너        </t>
    </r>
    <r>
      <rPr>
        <sz val="10"/>
        <rFont val="Arial"/>
        <family val="0"/>
        <charset val="1"/>
      </rPr>
      <t xml:space="preserve">add_wholesale.py PARTNER_NAMES</t>
    </r>
  </si>
  <si>
    <r>
      <rPr>
        <sz val="10"/>
        <rFont val="Arial"/>
        <family val="0"/>
        <charset val="1"/>
      </rPr>
      <t xml:space="preserve">  13_</t>
    </r>
    <r>
      <rPr>
        <sz val="10"/>
        <rFont val="Noto Sans CJK SC"/>
        <family val="2"/>
      </rPr>
      <t xml:space="preserve">실행결과요약        마지막 생성 실행의 목표 대비 실제 매출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검증용</t>
    </r>
    <r>
      <rPr>
        <sz val="10"/>
        <rFont val="Arial"/>
        <family val="0"/>
        <charset val="1"/>
      </rPr>
      <t xml:space="preserve">, v4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</si>
  <si>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14_</t>
    </r>
    <r>
      <rPr>
        <b val="true"/>
        <sz val="10"/>
        <rFont val="Noto Sans CJK SC"/>
        <family val="2"/>
      </rPr>
      <t xml:space="preserve">디자인라인업        </t>
    </r>
    <r>
      <rPr>
        <b val="true"/>
        <sz val="10"/>
        <rFont val="Arial"/>
        <family val="0"/>
        <charset val="1"/>
      </rPr>
      <t xml:space="preserve">DESIGNS_BY_CATEGORY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(2026.08 </t>
    </r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) — </t>
    </r>
    <r>
      <rPr>
        <b val="true"/>
        <sz val="10"/>
        <rFont val="Noto Sans CJK SC"/>
        <family val="2"/>
      </rPr>
      <t xml:space="preserve">카테고리별 디자인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인기도 티어</t>
    </r>
  </si>
  <si>
    <r>
      <rPr>
        <b val="true"/>
        <sz val="10"/>
        <rFont val="Arial"/>
        <family val="0"/>
        <charset val="1"/>
      </rPr>
      <t xml:space="preserve">  15_</t>
    </r>
    <r>
      <rPr>
        <b val="true"/>
        <sz val="10"/>
        <rFont val="Noto Sans CJK SC"/>
        <family val="2"/>
      </rPr>
      <t xml:space="preserve">인기도티어검증      </t>
    </r>
    <r>
      <rPr>
        <b val="true"/>
        <sz val="10"/>
        <rFont val="Arial"/>
        <family val="0"/>
        <charset val="1"/>
      </rPr>
      <t xml:space="preserve">HERO/STEADY/NICHE </t>
    </r>
    <r>
      <rPr>
        <b val="true"/>
        <sz val="10"/>
        <rFont val="Noto Sans CJK SC"/>
        <family val="2"/>
      </rPr>
      <t xml:space="preserve">실측 판매 비율 검증 </t>
    </r>
    <r>
      <rPr>
        <b val="true"/>
        <sz val="10"/>
        <rFont val="Arial"/>
        <family val="0"/>
        <charset val="1"/>
      </rPr>
      <t xml:space="preserve">(2026.08 </t>
    </r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</si>
  <si>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값 색상 규칙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코드에서 그대로 가져온 하드코딩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자동생성기가 읽어야 할 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</si>
  <si>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           검정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참고용 설명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계산값</t>
    </r>
  </si>
  <si>
    <t xml:space="preserve">분기별 매출 타겟</t>
  </si>
  <si>
    <r>
      <rPr>
        <sz val="10"/>
        <color rgb="FF6E699A"/>
        <rFont val="Arial"/>
        <family val="0"/>
        <charset val="1"/>
      </rPr>
      <t xml:space="preserve">generate_v2.py QUARTERS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01.Master Roadmap 2026.08 </t>
    </r>
    <r>
      <rPr>
        <sz val="10"/>
        <color rgb="FF6E699A"/>
        <rFont val="Noto Sans CJK SC"/>
        <family val="2"/>
      </rPr>
      <t xml:space="preserve">개정 반영</t>
    </r>
  </si>
  <si>
    <r>
      <rPr>
        <b val="true"/>
        <sz val="10"/>
        <color rgb="FFFFFFFF"/>
        <rFont val="Noto Sans CJK SC"/>
        <family val="2"/>
      </rPr>
      <t xml:space="preserve">분기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</si>
  <si>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시작일</t>
  </si>
  <si>
    <t xml:space="preserve">종료일</t>
  </si>
  <si>
    <t xml:space="preserve">소속연도</t>
  </si>
  <si>
    <r>
      <rPr>
        <b val="true"/>
        <sz val="10"/>
        <color rgb="FFFFFFFF"/>
        <rFont val="Noto Sans CJK SC"/>
        <family val="2"/>
      </rPr>
      <t xml:space="preserve">목표매출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</si>
  <si>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목표매출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</si>
  <si>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전년대비</t>
  </si>
  <si>
    <t xml:space="preserve">비고</t>
  </si>
  <si>
    <t xml:space="preserve">Q1</t>
  </si>
  <si>
    <t xml:space="preserve">2024-03-01</t>
  </si>
  <si>
    <t xml:space="preserve">2024-05-31</t>
  </si>
  <si>
    <t xml:space="preserve">Y1</t>
  </si>
  <si>
    <t xml:space="preserve">-</t>
  </si>
  <si>
    <r>
      <rPr>
        <sz val="10"/>
        <rFont val="Arial"/>
        <family val="0"/>
        <charset val="1"/>
      </rPr>
      <t xml:space="preserve">Y1 SS </t>
    </r>
    <r>
      <rPr>
        <sz val="10"/>
        <rFont val="Noto Sans CJK SC"/>
        <family val="2"/>
      </rPr>
      <t xml:space="preserve">론칭</t>
    </r>
  </si>
  <si>
    <t xml:space="preserve">Q2</t>
  </si>
  <si>
    <t xml:space="preserve">2024-06-01</t>
  </si>
  <si>
    <t xml:space="preserve">2024-08-31</t>
  </si>
  <si>
    <t xml:space="preserve">여름 정리세일</t>
  </si>
  <si>
    <t xml:space="preserve">Q3</t>
  </si>
  <si>
    <t xml:space="preserve">2024-09-01</t>
  </si>
  <si>
    <t xml:space="preserve">2024-11-30</t>
  </si>
  <si>
    <r>
      <rPr>
        <sz val="10"/>
        <rFont val="Arial"/>
        <family val="0"/>
        <charset val="1"/>
      </rPr>
      <t xml:space="preserve">Y1 FW, </t>
    </r>
    <r>
      <rPr>
        <sz val="10"/>
        <rFont val="Noto Sans CJK SC"/>
        <family val="2"/>
      </rPr>
      <t xml:space="preserve">블프</t>
    </r>
  </si>
  <si>
    <t xml:space="preserve">Q4</t>
  </si>
  <si>
    <t xml:space="preserve">2024-12-01</t>
  </si>
  <si>
    <t xml:space="preserve">2025-02-28</t>
  </si>
  <si>
    <t xml:space="preserve">연말이월</t>
  </si>
  <si>
    <t xml:space="preserve">Q5</t>
  </si>
  <si>
    <t xml:space="preserve">2025-03-01</t>
  </si>
  <si>
    <t xml:space="preserve">2025-05-31</t>
  </si>
  <si>
    <t xml:space="preserve">Y2</t>
  </si>
  <si>
    <r>
      <rPr>
        <sz val="10"/>
        <rFont val="Arial"/>
        <family val="0"/>
        <charset val="1"/>
      </rPr>
      <t xml:space="preserve">+300%(Y1</t>
    </r>
    <r>
      <rPr>
        <sz val="10"/>
        <rFont val="Noto Sans CJK SC"/>
        <family val="2"/>
      </rPr>
      <t xml:space="preserve">대비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</si>
  <si>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Y2 SS, OUTER </t>
    </r>
    <r>
      <rPr>
        <sz val="10"/>
        <rFont val="Noto Sans CJK SC"/>
        <family val="2"/>
      </rPr>
      <t xml:space="preserve">추가</t>
    </r>
  </si>
  <si>
    <t xml:space="preserve">Q6</t>
  </si>
  <si>
    <t xml:space="preserve">2025-06-01</t>
  </si>
  <si>
    <t xml:space="preserve">2025-08-31</t>
  </si>
  <si>
    <t xml:space="preserve">Q7</t>
  </si>
  <si>
    <t xml:space="preserve">2025-09-01</t>
  </si>
  <si>
    <t xml:space="preserve">2025-11-30</t>
  </si>
  <si>
    <r>
      <rPr>
        <sz val="10"/>
        <rFont val="Arial"/>
        <family val="0"/>
        <charset val="1"/>
      </rPr>
      <t xml:space="preserve">Y2 FW, </t>
    </r>
    <r>
      <rPr>
        <sz val="10"/>
        <rFont val="Noto Sans CJK SC"/>
        <family val="2"/>
      </rPr>
      <t xml:space="preserve">블프</t>
    </r>
  </si>
  <si>
    <t xml:space="preserve">Q8</t>
  </si>
  <si>
    <t xml:space="preserve">2025-12-01</t>
  </si>
  <si>
    <t xml:space="preserve">2026-02-28</t>
  </si>
  <si>
    <t xml:space="preserve">Q9</t>
  </si>
  <si>
    <t xml:space="preserve">2026-03-01</t>
  </si>
  <si>
    <t xml:space="preserve">2026-05-31</t>
  </si>
  <si>
    <t xml:space="preserve">Y3</t>
  </si>
  <si>
    <r>
      <rPr>
        <sz val="10"/>
        <rFont val="Arial"/>
        <family val="0"/>
        <charset val="1"/>
      </rPr>
      <t xml:space="preserve">+150%(Y2</t>
    </r>
    <r>
      <rPr>
        <sz val="10"/>
        <rFont val="Noto Sans CJK SC"/>
        <family val="2"/>
      </rPr>
      <t xml:space="preserve">대비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</si>
  <si>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Y3 SS, ACC/DRS </t>
    </r>
    <r>
      <rPr>
        <sz val="10"/>
        <rFont val="Noto Sans CJK SC"/>
        <family val="2"/>
      </rPr>
      <t xml:space="preserve">추가</t>
    </r>
  </si>
  <si>
    <t xml:space="preserve">Q10</t>
  </si>
  <si>
    <t xml:space="preserve">2026-06-01</t>
  </si>
  <si>
    <t xml:space="preserve">2026-08-31</t>
  </si>
  <si>
    <r>
      <rPr>
        <sz val="10"/>
        <rFont val="Noto Sans CJK SC"/>
        <family val="2"/>
      </rPr>
      <t xml:space="preserve">여름 정리세일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부분월 </t>
    </r>
    <r>
      <rPr>
        <sz val="10"/>
        <rFont val="Arial"/>
        <family val="0"/>
        <charset val="1"/>
      </rPr>
      <t xml:space="preserve">8/9</t>
    </r>
    <r>
      <rPr>
        <sz val="10"/>
        <rFont val="Noto Sans CJK SC"/>
        <family val="2"/>
      </rPr>
      <t xml:space="preserve">까지만 실제 생성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</si>
  <si>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연도별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):</t>
    </r>
  </si>
  <si>
    <t xml:space="preserve">카테고리 마스터</t>
  </si>
  <si>
    <r>
      <rPr>
        <sz val="10"/>
        <color rgb="FF6E699A"/>
        <rFont val="Arial"/>
        <family val="0"/>
        <charset val="1"/>
      </rPr>
      <t xml:space="preserve">generate_v4.py CATEGORIES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22.SKU &amp; Option Code System </t>
    </r>
    <r>
      <rPr>
        <sz val="10"/>
        <color rgb="FF6E699A"/>
        <rFont val="Noto Sans CJK SC"/>
        <family val="2"/>
      </rPr>
      <t xml:space="preserve">동기화 </t>
    </r>
    <r>
      <rPr>
        <sz val="10"/>
        <color rgb="FF6E699A"/>
        <rFont val="Arial"/>
        <family val="0"/>
        <charset val="1"/>
      </rPr>
      <t xml:space="preserve">(2026.08 SKU </t>
    </r>
    <r>
      <rPr>
        <sz val="10"/>
        <color rgb="FF6E699A"/>
        <rFont val="Noto Sans CJK SC"/>
        <family val="2"/>
      </rPr>
      <t xml:space="preserve">확장 반영</t>
    </r>
    <r>
      <rPr>
        <sz val="10"/>
        <color rgb="FF6E699A"/>
        <rFont val="Arial"/>
        <family val="0"/>
        <charset val="1"/>
      </rPr>
      <t xml:space="preserve">)</t>
    </r>
  </si>
  <si>
    <t xml:space="preserve">카테고리코드</t>
  </si>
  <si>
    <t xml:space="preserve">카테고리명</t>
  </si>
  <si>
    <t xml:space="preserve">출시일</t>
  </si>
  <si>
    <t xml:space="preserve">디자인 수</t>
  </si>
  <si>
    <r>
      <rPr>
        <b val="true"/>
        <sz val="10"/>
        <color rgb="FFFFFFFF"/>
        <rFont val="Noto Sans CJK SC"/>
        <family val="2"/>
      </rPr>
      <t xml:space="preserve">체형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톤 축</t>
    </r>
  </si>
  <si>
    <t xml:space="preserve">사이즈</t>
  </si>
  <si>
    <t xml:space="preserve">컬러</t>
  </si>
  <si>
    <r>
      <rPr>
        <b val="true"/>
        <sz val="10"/>
        <color rgb="FFFFFFFF"/>
        <rFont val="Noto Sans CJK SC"/>
        <family val="2"/>
      </rPr>
      <t xml:space="preserve">정가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</si>
  <si>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반품율목표</t>
  </si>
  <si>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Noto Sans CJK SC"/>
        <family val="2"/>
      </rPr>
      <t xml:space="preserve">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계산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</si>
  <si>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TOP</t>
  </si>
  <si>
    <t xml:space="preserve">상의</t>
  </si>
  <si>
    <t xml:space="preserve">STR, WAV, NAT (3)</t>
  </si>
  <si>
    <t xml:space="preserve">S, M, L</t>
  </si>
  <si>
    <t xml:space="preserve">BLK, WHT</t>
  </si>
  <si>
    <t xml:space="preserve">PNT</t>
  </si>
  <si>
    <t xml:space="preserve">하의</t>
  </si>
  <si>
    <t xml:space="preserve">5LT, PLT (2)</t>
  </si>
  <si>
    <t xml:space="preserve">XS, S, M, L, XL</t>
  </si>
  <si>
    <t xml:space="preserve">BLK, GRY, BEG</t>
  </si>
  <si>
    <t xml:space="preserve">CLR</t>
  </si>
  <si>
    <t xml:space="preserve">컬러베이직</t>
  </si>
  <si>
    <t xml:space="preserve">WRM, COOL, MUT (3)</t>
  </si>
  <si>
    <t xml:space="preserve">CRM, ASH, IVR</t>
  </si>
  <si>
    <t xml:space="preserve">OUT</t>
  </si>
  <si>
    <t xml:space="preserve">아우터</t>
  </si>
  <si>
    <t xml:space="preserve">BLK, BEG, GRY, NVY</t>
  </si>
  <si>
    <t xml:space="preserve">ACC</t>
  </si>
  <si>
    <t xml:space="preserve">액세서리</t>
  </si>
  <si>
    <r>
      <rPr>
        <sz val="10"/>
        <rFont val="Arial"/>
        <family val="0"/>
        <charset val="1"/>
      </rPr>
      <t xml:space="preserve">BAG/BLT/SCF/CAP/PCH (5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디자인축</t>
    </r>
    <r>
      <rPr>
        <sz val="10"/>
        <rFont val="Arial"/>
        <family val="0"/>
        <charset val="1"/>
      </rPr>
      <t xml:space="preserve">)</t>
    </r>
  </si>
  <si>
    <t xml:space="preserve">FREE</t>
  </si>
  <si>
    <t xml:space="preserve">BLK, BEG, WHT, BRN</t>
  </si>
  <si>
    <t xml:space="preserve">DRS</t>
  </si>
  <si>
    <t xml:space="preserve">원피스</t>
  </si>
  <si>
    <t xml:space="preserve">BLK, IVR</t>
  </si>
  <si>
    <r>
      <rPr>
        <b val="true"/>
        <sz val="10"/>
        <rFont val="Noto Sans CJK SC"/>
        <family val="2"/>
      </rPr>
      <t xml:space="preserve">베이직 합계</t>
    </r>
    <r>
      <rPr>
        <b val="true"/>
        <sz val="10"/>
        <rFont val="Arial"/>
        <family val="0"/>
        <charset val="1"/>
      </rPr>
      <t xml:space="preserve">:</t>
    </r>
  </si>
  <si>
    <r>
      <rPr>
        <sz val="10"/>
        <color rgb="FF6E699A"/>
        <rFont val="Noto Sans CJK SC"/>
        <family val="2"/>
      </rPr>
      <t xml:space="preserve">디자인 목록은 </t>
    </r>
    <r>
      <rPr>
        <sz val="10"/>
        <color rgb="FF6E699A"/>
        <rFont val="Arial"/>
        <family val="0"/>
        <charset val="1"/>
      </rPr>
      <t xml:space="preserve">14_</t>
    </r>
    <r>
      <rPr>
        <sz val="10"/>
        <color rgb="FF6E699A"/>
        <rFont val="Noto Sans CJK SC"/>
        <family val="2"/>
      </rPr>
      <t xml:space="preserve">디자인라인업 시트 참고</t>
    </r>
  </si>
  <si>
    <t xml:space="preserve">트렌드 캡슐</t>
  </si>
  <si>
    <r>
      <rPr>
        <sz val="10"/>
        <color rgb="FF6E699A"/>
        <rFont val="Arial"/>
        <family val="0"/>
        <charset val="1"/>
      </rPr>
      <t xml:space="preserve">generate_v2.py TREND_CAPSULES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21.Core Product Categories </t>
    </r>
    <r>
      <rPr>
        <sz val="10"/>
        <color rgb="FF6E699A"/>
        <rFont val="Noto Sans CJK SC"/>
        <family val="2"/>
      </rPr>
      <t xml:space="preserve">트렌드캡슐 섹션 동기화</t>
    </r>
  </si>
  <si>
    <r>
      <rPr>
        <b val="true"/>
        <sz val="10"/>
        <color rgb="FFFFFFFF"/>
        <rFont val="Noto Sans CJK SC"/>
        <family val="2"/>
      </rPr>
      <t xml:space="preserve">캡슐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</si>
  <si>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캡슐명</t>
  </si>
  <si>
    <t xml:space="preserve">카테고리</t>
  </si>
  <si>
    <t xml:space="preserve">단종예정일</t>
  </si>
  <si>
    <r>
      <rPr>
        <b val="true"/>
        <sz val="10"/>
        <color rgb="FFFFFFFF"/>
        <rFont val="Noto Sans CJK SC"/>
        <family val="2"/>
      </rPr>
      <t xml:space="preserve">체형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톤코드</t>
    </r>
  </si>
  <si>
    <t xml:space="preserve">트렌드출처</t>
  </si>
  <si>
    <t xml:space="preserve">TRD-CLR-01</t>
  </si>
  <si>
    <t xml:space="preserve">톤온톤 니트 셋업</t>
  </si>
  <si>
    <t xml:space="preserve">WRM, COOL, MUT</t>
  </si>
  <si>
    <t xml:space="preserve">CRM, ASH</t>
  </si>
  <si>
    <r>
      <rPr>
        <sz val="10"/>
        <rFont val="Noto Sans CJK SC"/>
        <family val="2"/>
      </rPr>
      <t xml:space="preserve">워크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포멀 무드</t>
    </r>
  </si>
  <si>
    <t xml:space="preserve">TRD-OUT-01</t>
  </si>
  <si>
    <t xml:space="preserve">액티브 반집업 아우터</t>
  </si>
  <si>
    <t xml:space="preserve">STR, WAV, NAT</t>
  </si>
  <si>
    <t xml:space="preserve">BLK, GRY</t>
  </si>
  <si>
    <r>
      <rPr>
        <sz val="10"/>
        <rFont val="Noto Sans CJK SC"/>
        <family val="2"/>
      </rPr>
      <t xml:space="preserve">러닝코어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스포츠캐주얼</t>
    </r>
  </si>
  <si>
    <t xml:space="preserve">TRD-TOP-01</t>
  </si>
  <si>
    <t xml:space="preserve">원숄더 니트탑</t>
  </si>
  <si>
    <t xml:space="preserve">페미닌 원숄더</t>
  </si>
  <si>
    <t xml:space="preserve">TRD-OUT-02</t>
  </si>
  <si>
    <t xml:space="preserve">뉴트럴 플리스 아우터</t>
  </si>
  <si>
    <t xml:space="preserve">BRN, GRN, BEG</t>
  </si>
  <si>
    <t xml:space="preserve">그래놀라코어</t>
  </si>
  <si>
    <t xml:space="preserve">TRD-OUT-03</t>
  </si>
  <si>
    <t xml:space="preserve">쿼터집 후드</t>
  </si>
  <si>
    <t xml:space="preserve">BLK, BEG</t>
  </si>
  <si>
    <r>
      <rPr>
        <sz val="10"/>
        <rFont val="Noto Sans CJK SC"/>
        <family val="2"/>
      </rPr>
      <t xml:space="preserve">쿼터집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하프집업</t>
    </r>
    <r>
      <rPr>
        <sz val="10"/>
        <rFont val="Arial"/>
        <family val="0"/>
        <charset val="1"/>
      </rPr>
      <t xml:space="preserve">)</t>
    </r>
  </si>
  <si>
    <t xml:space="preserve">TRD-ACC-01</t>
  </si>
  <si>
    <t xml:space="preserve">참키링 액세서리</t>
  </si>
  <si>
    <t xml:space="preserve">CHM</t>
  </si>
  <si>
    <t xml:space="preserve">BLK, GLD, SLV</t>
  </si>
  <si>
    <r>
      <rPr>
        <sz val="10"/>
        <rFont val="Noto Sans CJK SC"/>
        <family val="2"/>
      </rPr>
      <t xml:space="preserve">백꾸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가방꾸미기</t>
    </r>
    <r>
      <rPr>
        <sz val="10"/>
        <rFont val="Arial"/>
        <family val="0"/>
        <charset val="1"/>
      </rPr>
      <t xml:space="preserve">)</t>
    </r>
  </si>
  <si>
    <t xml:space="preserve">TRD-PNT-02</t>
  </si>
  <si>
    <t xml:space="preserve">빈티지 워싱 데님</t>
  </si>
  <si>
    <r>
      <rPr>
        <sz val="10"/>
        <rFont val="Arial"/>
        <family val="0"/>
        <charset val="1"/>
      </rPr>
      <t xml:space="preserve">2026-09-01(</t>
    </r>
    <r>
      <rPr>
        <sz val="10"/>
        <rFont val="Noto Sans CJK SC"/>
        <family val="2"/>
      </rPr>
      <t xml:space="preserve">예정</t>
    </r>
    <r>
      <rPr>
        <sz val="10"/>
        <rFont val="Arial"/>
        <family val="0"/>
        <charset val="1"/>
      </rPr>
      <t xml:space="preserve">)</t>
    </r>
  </si>
  <si>
    <t xml:space="preserve">포엣코어 — 미출시</t>
  </si>
  <si>
    <t xml:space="preserve">TRD-ACC-02</t>
  </si>
  <si>
    <t xml:space="preserve">안경형 액세서리</t>
  </si>
  <si>
    <r>
      <rPr>
        <sz val="10"/>
        <rFont val="Noto Sans CJK SC"/>
        <family val="2"/>
      </rPr>
      <t xml:space="preserve">포엣코어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미코노미 — 미출시</t>
    </r>
  </si>
  <si>
    <t xml:space="preserve">채널</t>
  </si>
  <si>
    <r>
      <rPr>
        <sz val="10"/>
        <color rgb="FF6E699A"/>
        <rFont val="Arial"/>
        <family val="0"/>
        <charset val="1"/>
      </rPr>
      <t xml:space="preserve">CHANNEL </t>
    </r>
    <r>
      <rPr>
        <sz val="10"/>
        <color rgb="FF6E699A"/>
        <rFont val="Noto Sans CJK SC"/>
        <family val="2"/>
      </rPr>
      <t xml:space="preserve">테이블 — </t>
    </r>
    <r>
      <rPr>
        <sz val="10"/>
        <color rgb="FF6E699A"/>
        <rFont val="Arial"/>
        <family val="0"/>
        <charset val="1"/>
      </rPr>
      <t xml:space="preserve">42.Channel &amp; Settlement Terms </t>
    </r>
    <r>
      <rPr>
        <sz val="10"/>
        <color rgb="FF6E699A"/>
        <rFont val="Noto Sans CJK SC"/>
        <family val="2"/>
      </rPr>
      <t xml:space="preserve">동기화</t>
    </r>
  </si>
  <si>
    <r>
      <rPr>
        <b val="true"/>
        <sz val="10"/>
        <color rgb="FFFFFFFF"/>
        <rFont val="Noto Sans CJK SC"/>
        <family val="2"/>
      </rPr>
      <t xml:space="preserve">채널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</si>
  <si>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채널명</t>
  </si>
  <si>
    <t xml:space="preserve">수수료율</t>
  </si>
  <si>
    <t xml:space="preserve">정산주기</t>
  </si>
  <si>
    <t xml:space="preserve">ZIGZAG</t>
  </si>
  <si>
    <r>
      <rPr>
        <sz val="10"/>
        <rFont val="Noto Sans CJK SC"/>
        <family val="2"/>
      </rPr>
      <t xml:space="preserve">지그재그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직진배송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</si>
  <si>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</si>
  <si>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가정치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공식 협의 전</t>
    </r>
  </si>
  <si>
    <t xml:space="preserve">OFFLINE</t>
  </si>
  <si>
    <r>
      <rPr>
        <sz val="10"/>
        <rFont val="Noto Sans CJK SC"/>
        <family val="2"/>
      </rPr>
      <t xml:space="preserve">오프라인 쇼룸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팝업</t>
    </r>
  </si>
  <si>
    <t xml:space="preserve">2024-10-01</t>
  </si>
  <si>
    <r>
      <rPr>
        <sz val="10"/>
        <rFont val="Noto Sans CJK SC"/>
        <family val="2"/>
      </rPr>
      <t xml:space="preserve">직영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수수료 없음</t>
    </r>
  </si>
  <si>
    <t xml:space="preserve">WHOLESALE</t>
  </si>
  <si>
    <r>
      <rPr>
        <sz val="10"/>
        <rFont val="Noto Sans CJK SC"/>
        <family val="2"/>
      </rPr>
      <t xml:space="preserve">홀세일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입점</t>
    </r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</si>
  <si>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</si>
  <si>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파일럿 시작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정식 확대 </t>
    </r>
    <r>
      <rPr>
        <sz val="10"/>
        <rFont val="Arial"/>
        <family val="0"/>
        <charset val="1"/>
      </rPr>
      <t xml:space="preserve">2026-09 </t>
    </r>
    <r>
      <rPr>
        <sz val="10"/>
        <rFont val="Noto Sans CJK SC"/>
        <family val="2"/>
      </rPr>
      <t xml:space="preserve">예정</t>
    </r>
  </si>
  <si>
    <t xml:space="preserve">오프라인 매장</t>
  </si>
  <si>
    <r>
      <rPr>
        <sz val="10"/>
        <color rgb="FF6E699A"/>
        <rFont val="Arial"/>
        <family val="0"/>
        <charset val="1"/>
      </rPr>
      <t xml:space="preserve">generate_v2.py STORES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48.Offline Store Expansion Plan </t>
    </r>
    <r>
      <rPr>
        <sz val="10"/>
        <color rgb="FF6E699A"/>
        <rFont val="Noto Sans CJK SC"/>
        <family val="2"/>
      </rPr>
      <t xml:space="preserve">동기화</t>
    </r>
  </si>
  <si>
    <r>
      <rPr>
        <b val="true"/>
        <sz val="10"/>
        <color rgb="FFFFFFFF"/>
        <rFont val="Noto Sans CJK SC"/>
        <family val="2"/>
      </rPr>
      <t xml:space="preserve">매장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</si>
  <si>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유형</t>
  </si>
  <si>
    <t xml:space="preserve">위치</t>
  </si>
  <si>
    <t xml:space="preserve">오픈일</t>
  </si>
  <si>
    <r>
      <rPr>
        <b val="true"/>
        <sz val="10"/>
        <color rgb="FFFFFFFF"/>
        <rFont val="Noto Sans CJK SC"/>
        <family val="2"/>
      </rPr>
      <t xml:space="preserve">준비기간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</si>
  <si>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STORE-01</t>
  </si>
  <si>
    <t xml:space="preserve">팝업</t>
  </si>
  <si>
    <t xml:space="preserve">성수</t>
  </si>
  <si>
    <t xml:space="preserve">2024-10-31</t>
  </si>
  <si>
    <t xml:space="preserve">STORE-02</t>
  </si>
  <si>
    <t xml:space="preserve">상설쇼룸</t>
  </si>
  <si>
    <t xml:space="preserve">홍대</t>
  </si>
  <si>
    <t xml:space="preserve">2025-03-15</t>
  </si>
  <si>
    <t xml:space="preserve">STORE-03</t>
  </si>
  <si>
    <t xml:space="preserve">강남</t>
  </si>
  <si>
    <t xml:space="preserve">2025-11-01</t>
  </si>
  <si>
    <t xml:space="preserve">STORE-04</t>
  </si>
  <si>
    <t xml:space="preserve">2026-04-01</t>
  </si>
  <si>
    <t xml:space="preserve">재고정책 파라미터</t>
  </si>
  <si>
    <r>
      <rPr>
        <sz val="10"/>
        <color rgb="FF6E699A"/>
        <rFont val="Noto Sans CJK SC"/>
        <family val="2"/>
      </rPr>
      <t xml:space="preserve">동적 재고정책 상수 — </t>
    </r>
    <r>
      <rPr>
        <sz val="10"/>
        <color rgb="FF6E699A"/>
        <rFont val="Arial"/>
        <family val="0"/>
        <charset val="1"/>
      </rPr>
      <t xml:space="preserve">32.Inventory Policy </t>
    </r>
    <r>
      <rPr>
        <sz val="10"/>
        <color rgb="FF6E699A"/>
        <rFont val="Noto Sans CJK SC"/>
        <family val="2"/>
      </rPr>
      <t xml:space="preserve">동기화 </t>
    </r>
    <r>
      <rPr>
        <sz val="10"/>
        <color rgb="FF6E699A"/>
        <rFont val="Arial"/>
        <family val="0"/>
        <charset val="1"/>
      </rPr>
      <t xml:space="preserve">(</t>
    </r>
    <r>
      <rPr>
        <sz val="10"/>
        <color rgb="FF6E699A"/>
        <rFont val="Noto Sans CJK SC"/>
        <family val="2"/>
      </rPr>
      <t xml:space="preserve">판매속도 기반 계산식</t>
    </r>
    <r>
      <rPr>
        <sz val="10"/>
        <color rgb="FF6E699A"/>
        <rFont val="Arial"/>
        <family val="0"/>
        <charset val="1"/>
      </rPr>
      <t xml:space="preserve">)</t>
    </r>
  </si>
  <si>
    <t xml:space="preserve">파라미터명</t>
  </si>
  <si>
    <t xml:space="preserve">값</t>
  </si>
  <si>
    <t xml:space="preserve">설명</t>
  </si>
  <si>
    <t xml:space="preserve">LEAD_TIME_DAYS</t>
  </si>
  <si>
    <r>
      <rPr>
        <sz val="10"/>
        <rFont val="Noto Sans CJK SC"/>
        <family val="2"/>
      </rPr>
      <t xml:space="preserve">공장 발주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입고 전체 리드타임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). 31.Partner &amp; Factory Master </t>
    </r>
    <r>
      <rPr>
        <sz val="10"/>
        <rFont val="Noto Sans CJK SC"/>
        <family val="2"/>
      </rPr>
      <t xml:space="preserve">기준</t>
    </r>
  </si>
  <si>
    <t xml:space="preserve">REORDER_BUFFER</t>
  </si>
  <si>
    <r>
      <rPr>
        <sz val="10"/>
        <rFont val="Noto Sans CJK SC"/>
        <family val="2"/>
      </rPr>
      <t xml:space="preserve">재주문점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판매속도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값</t>
    </r>
  </si>
  <si>
    <t xml:space="preserve">PAR_BUFFER</t>
  </si>
  <si>
    <r>
      <rPr>
        <sz val="10"/>
        <rFont val="Noto Sans CJK SC"/>
        <family val="2"/>
      </rPr>
      <t xml:space="preserve">파레벨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재발주 목표재고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판매속도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값</t>
    </r>
  </si>
  <si>
    <t xml:space="preserve">INITIAL_BUFFER</t>
  </si>
  <si>
    <r>
      <rPr>
        <sz val="10"/>
        <rFont val="Noto Sans CJK SC"/>
        <family val="2"/>
      </rPr>
      <t xml:space="preserve">베이직 라인 출시 초도물량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판매속도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값</t>
    </r>
  </si>
  <si>
    <t xml:space="preserve">TREND_INITIAL_BUFFER</t>
  </si>
  <si>
    <r>
      <rPr>
        <sz val="10"/>
        <rFont val="Noto Sans CJK SC"/>
        <family val="2"/>
      </rPr>
      <t xml:space="preserve">트렌드캡슐 출시 초도물량 배수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베이직보다 소량</t>
    </r>
    <r>
      <rPr>
        <sz val="10"/>
        <rFont val="Arial"/>
        <family val="0"/>
        <charset val="1"/>
      </rPr>
      <t xml:space="preserve">)</t>
    </r>
  </si>
  <si>
    <t xml:space="preserve">SAFETY_STOCK_RATIO</t>
  </si>
  <si>
    <r>
      <rPr>
        <sz val="10"/>
        <rFont val="Noto Sans CJK SC"/>
        <family val="2"/>
      </rPr>
      <t xml:space="preserve">안전재고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재주문점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비율</t>
    </r>
  </si>
  <si>
    <t xml:space="preserve">AVG_ITEMS_PER_ORDER</t>
  </si>
  <si>
    <r>
      <rPr>
        <sz val="10"/>
        <rFont val="Noto Sans CJK SC"/>
        <family val="2"/>
      </rPr>
      <t xml:space="preserve">평균 주문당 아이템수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60%/2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30%/3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가중평균</t>
    </r>
    <r>
      <rPr>
        <sz val="10"/>
        <rFont val="Arial"/>
        <family val="0"/>
        <charset val="1"/>
      </rPr>
      <t xml:space="preserve">)</t>
    </r>
  </si>
  <si>
    <t xml:space="preserve">COST_RATIO</t>
  </si>
  <si>
    <r>
      <rPr>
        <sz val="10"/>
        <rFont val="Arial"/>
        <family val="0"/>
        <charset val="1"/>
      </rPr>
      <t xml:space="preserve">COGS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원단</t>
    </r>
    <r>
      <rPr>
        <sz val="10"/>
        <rFont val="Arial"/>
        <family val="0"/>
        <charset val="1"/>
      </rPr>
      <t xml:space="preserve">25%+</t>
    </r>
    <r>
      <rPr>
        <sz val="10"/>
        <rFont val="Noto Sans CJK SC"/>
        <family val="2"/>
      </rPr>
      <t xml:space="preserve">공임</t>
    </r>
    <r>
      <rPr>
        <sz val="10"/>
        <rFont val="Arial"/>
        <family val="0"/>
        <charset val="1"/>
      </rPr>
      <t xml:space="preserve">15%+</t>
    </r>
    <r>
      <rPr>
        <sz val="10"/>
        <rFont val="Noto Sans CJK SC"/>
        <family val="2"/>
      </rPr>
      <t xml:space="preserve">물류</t>
    </r>
    <r>
      <rPr>
        <sz val="10"/>
        <rFont val="Arial"/>
        <family val="0"/>
        <charset val="1"/>
      </rPr>
      <t xml:space="preserve">8%) — 43.Revenue &amp; Cost Structure</t>
    </r>
  </si>
  <si>
    <t xml:space="preserve">프로모션 캘린더</t>
  </si>
  <si>
    <r>
      <rPr>
        <sz val="10"/>
        <color rgb="FF6E699A"/>
        <rFont val="Arial"/>
        <family val="0"/>
        <charset val="1"/>
      </rPr>
      <t xml:space="preserve">generate_v2.py PROMO_WINDOWS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45.Season &amp; Promotion Calendar </t>
    </r>
    <r>
      <rPr>
        <sz val="10"/>
        <color rgb="FF6E699A"/>
        <rFont val="Noto Sans CJK SC"/>
        <family val="2"/>
      </rPr>
      <t xml:space="preserve">동기화</t>
    </r>
  </si>
  <si>
    <t xml:space="preserve">프로모션명</t>
  </si>
  <si>
    <r>
      <rPr>
        <b val="true"/>
        <sz val="10"/>
        <color rgb="FFFFFFFF"/>
        <rFont val="Noto Sans CJK SC"/>
        <family val="2"/>
      </rPr>
      <t xml:space="preserve">시작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</si>
  <si>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종료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</si>
  <si>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주문량 배수</t>
  </si>
  <si>
    <t xml:space="preserve">신학기 프로모션</t>
  </si>
  <si>
    <t xml:space="preserve">03-01</t>
  </si>
  <si>
    <t xml:space="preserve">03-14</t>
  </si>
  <si>
    <r>
      <rPr>
        <sz val="10"/>
        <rFont val="Arial"/>
        <family val="0"/>
        <charset val="1"/>
      </rPr>
      <t xml:space="preserve">SS </t>
    </r>
    <r>
      <rPr>
        <sz val="10"/>
        <rFont val="Noto Sans CJK SC"/>
        <family val="2"/>
      </rPr>
      <t xml:space="preserve">신상품 신규 유입</t>
    </r>
  </si>
  <si>
    <t xml:space="preserve">여름 정리 세일</t>
  </si>
  <si>
    <t xml:space="preserve">07-25</t>
  </si>
  <si>
    <t xml:space="preserve">08-10</t>
  </si>
  <si>
    <r>
      <rPr>
        <sz val="10"/>
        <rFont val="Arial"/>
        <family val="0"/>
        <charset val="1"/>
      </rPr>
      <t xml:space="preserve">SS </t>
    </r>
    <r>
      <rPr>
        <sz val="10"/>
        <rFont val="Noto Sans CJK SC"/>
        <family val="2"/>
      </rPr>
      <t xml:space="preserve">재고 소진</t>
    </r>
  </si>
  <si>
    <t xml:space="preserve">블랙프라이데이</t>
  </si>
  <si>
    <t xml:space="preserve">11-20</t>
  </si>
  <si>
    <t xml:space="preserve">11-30</t>
  </si>
  <si>
    <r>
      <rPr>
        <sz val="10"/>
        <rFont val="Arial"/>
        <family val="0"/>
        <charset val="1"/>
      </rPr>
      <t xml:space="preserve">FW </t>
    </r>
    <r>
      <rPr>
        <sz val="10"/>
        <rFont val="Noto Sans CJK SC"/>
        <family val="2"/>
      </rPr>
      <t xml:space="preserve">매출 극대화</t>
    </r>
  </si>
  <si>
    <t xml:space="preserve">연말 이월 프로모션</t>
  </si>
  <si>
    <t xml:space="preserve">12-15</t>
  </si>
  <si>
    <t xml:space="preserve">01-15</t>
  </si>
  <si>
    <r>
      <rPr>
        <sz val="10"/>
        <rFont val="Arial"/>
        <family val="0"/>
        <charset val="1"/>
      </rPr>
      <t xml:space="preserve">FW </t>
    </r>
    <r>
      <rPr>
        <sz val="10"/>
        <rFont val="Noto Sans CJK SC"/>
        <family val="2"/>
      </rPr>
      <t xml:space="preserve">재고 소진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 걸침</t>
    </r>
    <r>
      <rPr>
        <sz val="10"/>
        <rFont val="Arial"/>
        <family val="0"/>
        <charset val="1"/>
      </rPr>
      <t xml:space="preserve">)</t>
    </r>
  </si>
  <si>
    <t xml:space="preserve">공급망 이슈 시나리오</t>
  </si>
  <si>
    <r>
      <rPr>
        <sz val="10"/>
        <color rgb="FF6E699A"/>
        <rFont val="Arial"/>
        <family val="0"/>
        <charset val="1"/>
      </rPr>
      <t xml:space="preserve">generate_v2_miss.py DISRUPTION_WINDOWS </t>
    </r>
    <r>
      <rPr>
        <sz val="10"/>
        <color rgb="FF6E699A"/>
        <rFont val="Noto Sans CJK SC"/>
        <family val="2"/>
      </rPr>
      <t xml:space="preserve">상수 — 미달 시나리오 전용</t>
    </r>
  </si>
  <si>
    <t xml:space="preserve">시나리오명</t>
  </si>
  <si>
    <t xml:space="preserve">추가지연일</t>
  </si>
  <si>
    <t xml:space="preserve">물량비율</t>
  </si>
  <si>
    <t xml:space="preserve">원인</t>
  </si>
  <si>
    <r>
      <rPr>
        <b val="true"/>
        <sz val="10"/>
        <color rgb="FFFFFFFF"/>
        <rFont val="Noto Sans CJK SC"/>
        <family val="2"/>
      </rPr>
      <t xml:space="preserve">적용 </t>
    </r>
    <r>
      <rPr>
        <b val="true"/>
        <sz val="10"/>
        <color rgb="FFFFFFFF"/>
        <rFont val="Arial"/>
        <family val="0"/>
        <charset val="1"/>
      </rPr>
      <t xml:space="preserve">DB</t>
    </r>
  </si>
  <si>
    <r>
      <rPr>
        <sz val="10"/>
        <rFont val="Arial"/>
        <family val="0"/>
        <charset val="1"/>
      </rPr>
      <t xml:space="preserve">Y1 FW </t>
    </r>
    <r>
      <rPr>
        <sz val="10"/>
        <rFont val="Noto Sans CJK SC"/>
        <family val="2"/>
      </rPr>
      <t xml:space="preserve">물류지연</t>
    </r>
  </si>
  <si>
    <t xml:space="preserve">물류 파트너 온보딩 지연</t>
  </si>
  <si>
    <t xml:space="preserve">nqnq_scenario_miss.db</t>
  </si>
  <si>
    <r>
      <rPr>
        <sz val="10"/>
        <rFont val="Arial"/>
        <family val="0"/>
        <charset val="1"/>
      </rPr>
      <t xml:space="preserve">Y2 FW </t>
    </r>
    <r>
      <rPr>
        <sz val="10"/>
        <rFont val="Noto Sans CJK SC"/>
        <family val="2"/>
      </rPr>
      <t xml:space="preserve">원단이슈</t>
    </r>
  </si>
  <si>
    <r>
      <rPr>
        <sz val="10"/>
        <rFont val="Noto Sans CJK SC"/>
        <family val="2"/>
      </rPr>
      <t xml:space="preserve">원단 수급 이슈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글로벌 공급망 차질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</si>
  <si>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Y3 </t>
    </r>
    <r>
      <rPr>
        <sz val="10"/>
        <rFont val="Noto Sans CJK SC"/>
        <family val="2"/>
      </rPr>
      <t xml:space="preserve">여름 케파초과</t>
    </r>
  </si>
  <si>
    <t xml:space="preserve">2026-08-09</t>
  </si>
  <si>
    <r>
      <rPr>
        <sz val="10"/>
        <rFont val="Noto Sans CJK SC"/>
        <family val="2"/>
      </rPr>
      <t xml:space="preserve">공장 케파 초과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생산 병목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</si>
  <si>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1C1A2B"/>
        <rFont val="Arial"/>
        <family val="0"/>
        <charset val="1"/>
      </rPr>
      <t xml:space="preserve">SKU </t>
    </r>
    <r>
      <rPr>
        <b val="true"/>
        <sz val="14"/>
        <color rgb="FF1C1A2B"/>
        <rFont val="Noto Sans CJK SC"/>
        <family val="2"/>
      </rPr>
      <t xml:space="preserve">변경이력</t>
    </r>
  </si>
  <si>
    <r>
      <rPr>
        <sz val="10"/>
        <color rgb="FF6E699A"/>
        <rFont val="Arial"/>
        <family val="0"/>
        <charset val="1"/>
      </rPr>
      <t xml:space="preserve">26.SKU Change History </t>
    </r>
    <r>
      <rPr>
        <sz val="10"/>
        <color rgb="FF6E699A"/>
        <rFont val="Noto Sans CJK SC"/>
        <family val="2"/>
      </rPr>
      <t xml:space="preserve">동기화</t>
    </r>
  </si>
  <si>
    <t xml:space="preserve">시즌</t>
  </si>
  <si>
    <t xml:space="preserve">날짜</t>
  </si>
  <si>
    <t xml:space="preserve">변경내용</t>
  </si>
  <si>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Noto Sans CJK SC"/>
        <family val="2"/>
      </rPr>
      <t xml:space="preserve">증감</t>
    </r>
  </si>
  <si>
    <r>
      <rPr>
        <b val="true"/>
        <sz val="10"/>
        <color rgb="FFFFFFFF"/>
        <rFont val="Noto Sans CJK SC"/>
        <family val="2"/>
      </rPr>
      <t xml:space="preserve">누적</t>
    </r>
    <r>
      <rPr>
        <b val="true"/>
        <sz val="10"/>
        <color rgb="FFFFFFFF"/>
        <rFont val="Arial"/>
        <family val="0"/>
        <charset val="1"/>
      </rPr>
      <t xml:space="preserve">SKU</t>
    </r>
  </si>
  <si>
    <t xml:space="preserve">S01 Y1 SS</t>
  </si>
  <si>
    <r>
      <rPr>
        <sz val="10"/>
        <rFont val="Noto Sans CJK SC"/>
        <family val="2"/>
      </rPr>
      <t xml:space="preserve">론칭</t>
    </r>
    <r>
      <rPr>
        <sz val="10"/>
        <rFont val="Arial"/>
        <family val="0"/>
        <charset val="1"/>
      </rPr>
      <t xml:space="preserve">: TOP 3 + PANTS 2 + COLOR 3 (</t>
    </r>
    <r>
      <rPr>
        <sz val="10"/>
        <rFont val="Noto Sans CJK SC"/>
        <family val="2"/>
      </rPr>
      <t xml:space="preserve">베이직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</t>
    </r>
  </si>
  <si>
    <t xml:space="preserve">S02 Y1 FW</t>
  </si>
  <si>
    <r>
      <rPr>
        <sz val="10"/>
        <rFont val="Noto Sans CJK SC"/>
        <family val="2"/>
      </rPr>
      <t xml:space="preserve">트렌드캡슐 톤온톤 니트 셋업 추가 </t>
    </r>
    <r>
      <rPr>
        <sz val="10"/>
        <rFont val="Arial"/>
        <family val="0"/>
        <charset val="1"/>
      </rPr>
      <t xml:space="preserve">(CLR 3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</t>
    </r>
  </si>
  <si>
    <t xml:space="preserve">S03 Y2 SS</t>
  </si>
  <si>
    <r>
      <rPr>
        <sz val="10"/>
        <rFont val="Arial"/>
        <family val="0"/>
        <charset val="1"/>
      </rPr>
      <t xml:space="preserve">OUTER </t>
    </r>
    <r>
      <rPr>
        <sz val="10"/>
        <rFont val="Noto Sans CJK SC"/>
        <family val="2"/>
      </rPr>
      <t xml:space="preserve">신규 카테고리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캡슐 액티브 반집업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</t>
    </r>
  </si>
  <si>
    <t xml:space="preserve">S04 Y2 FW</t>
  </si>
  <si>
    <r>
      <rPr>
        <sz val="10"/>
        <rFont val="Noto Sans CJK SC"/>
        <family val="2"/>
      </rPr>
      <t xml:space="preserve">캡슐 원숄더 니트탑</t>
    </r>
    <r>
      <rPr>
        <sz val="10"/>
        <rFont val="Arial"/>
        <family val="0"/>
        <charset val="1"/>
      </rPr>
      <t xml:space="preserve">(3) + </t>
    </r>
    <r>
      <rPr>
        <sz val="10"/>
        <rFont val="Noto Sans CJK SC"/>
        <family val="2"/>
      </rPr>
      <t xml:space="preserve">뉴트럴 플리스 아우터</t>
    </r>
    <r>
      <rPr>
        <sz val="10"/>
        <rFont val="Arial"/>
        <family val="0"/>
        <charset val="1"/>
      </rPr>
      <t xml:space="preserve">(3)</t>
    </r>
  </si>
  <si>
    <t xml:space="preserve">S05 Y3 SS</t>
  </si>
  <si>
    <r>
      <rPr>
        <sz val="10"/>
        <rFont val="Arial"/>
        <family val="0"/>
        <charset val="1"/>
      </rPr>
      <t xml:space="preserve">ACC(3)+DRS(3) </t>
    </r>
    <r>
      <rPr>
        <sz val="10"/>
        <rFont val="Noto Sans CJK SC"/>
        <family val="2"/>
      </rPr>
      <t xml:space="preserve">신규 카테고리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캡슐 쿼터집후드</t>
    </r>
    <r>
      <rPr>
        <sz val="10"/>
        <rFont val="Arial"/>
        <family val="0"/>
        <charset val="1"/>
      </rPr>
      <t xml:space="preserve">(3)+</t>
    </r>
    <r>
      <rPr>
        <sz val="10"/>
        <rFont val="Noto Sans CJK SC"/>
        <family val="2"/>
      </rPr>
      <t xml:space="preserve">참키링</t>
    </r>
    <r>
      <rPr>
        <sz val="10"/>
        <rFont val="Arial"/>
        <family val="0"/>
        <charset val="1"/>
      </rPr>
      <t xml:space="preserve">(1)</t>
    </r>
  </si>
  <si>
    <r>
      <rPr>
        <sz val="10"/>
        <rFont val="Arial"/>
        <family val="0"/>
        <charset val="1"/>
      </rPr>
      <t xml:space="preserve">S05.5 </t>
    </r>
    <r>
      <rPr>
        <sz val="10"/>
        <rFont val="Noto Sans CJK SC"/>
        <family val="2"/>
      </rPr>
      <t xml:space="preserve">리밸런싱</t>
    </r>
  </si>
  <si>
    <r>
      <rPr>
        <sz val="10"/>
        <rFont val="Arial"/>
        <family val="0"/>
        <charset val="1"/>
      </rPr>
      <t xml:space="preserve">2026-08(</t>
    </r>
    <r>
      <rPr>
        <sz val="10"/>
        <rFont val="Noto Sans CJK SC"/>
        <family val="2"/>
      </rPr>
      <t xml:space="preserve">소급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</si>
  <si>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매출목표 대비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부족 발견</t>
    </r>
    <r>
      <rPr>
        <sz val="10"/>
        <rFont val="Arial"/>
        <family val="0"/>
        <charset val="1"/>
      </rPr>
      <t xml:space="preserve">(SKU</t>
    </r>
    <r>
      <rPr>
        <sz val="10"/>
        <rFont val="Noto Sans CJK SC"/>
        <family val="2"/>
      </rPr>
      <t xml:space="preserve">당 연 </t>
    </r>
    <r>
      <rPr>
        <sz val="10"/>
        <rFont val="Arial"/>
        <family val="0"/>
        <charset val="1"/>
      </rPr>
      <t xml:space="preserve">7,600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디자인 확장</t>
    </r>
    <r>
      <rPr>
        <sz val="10"/>
        <rFont val="Arial"/>
        <family val="0"/>
        <charset val="1"/>
      </rPr>
      <t xml:space="preserve">(TOP5/PNT4/CLR2/OUT3/ACC5/DRS2) + </t>
    </r>
    <r>
      <rPr>
        <sz val="10"/>
        <rFont val="Noto Sans CJK SC"/>
        <family val="2"/>
      </rPr>
      <t xml:space="preserve">인기도 티어</t>
    </r>
    <r>
      <rPr>
        <sz val="10"/>
        <rFont val="Arial"/>
        <family val="0"/>
        <charset val="1"/>
      </rPr>
      <t xml:space="preserve">(HERO/STEADY/NICHE) </t>
    </r>
    <r>
      <rPr>
        <sz val="10"/>
        <rFont val="Noto Sans CJK SC"/>
        <family val="2"/>
      </rPr>
      <t xml:space="preserve">도입</t>
    </r>
  </si>
  <si>
    <t xml:space="preserve">S06 Y3 FW</t>
  </si>
  <si>
    <r>
      <rPr>
        <sz val="10"/>
        <rFont val="Noto Sans CJK SC"/>
        <family val="2"/>
      </rPr>
      <t xml:space="preserve">캡슐 빈티지 데님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안경형 액세서리 — 미출시</t>
    </r>
  </si>
  <si>
    <t xml:space="preserve">조직 확장 계획</t>
  </si>
  <si>
    <r>
      <rPr>
        <sz val="10"/>
        <color rgb="FF6E699A"/>
        <rFont val="Arial"/>
        <family val="0"/>
        <charset val="1"/>
      </rPr>
      <t xml:space="preserve">52.Organization &amp; Team Structure </t>
    </r>
    <r>
      <rPr>
        <sz val="10"/>
        <color rgb="FF6E699A"/>
        <rFont val="Noto Sans CJK SC"/>
        <family val="2"/>
      </rPr>
      <t xml:space="preserve">동기화</t>
    </r>
  </si>
  <si>
    <t xml:space="preserve">단계</t>
  </si>
  <si>
    <t xml:space="preserve">시점</t>
  </si>
  <si>
    <t xml:space="preserve">팀규모</t>
  </si>
  <si>
    <t xml:space="preserve">신규추가</t>
  </si>
  <si>
    <t xml:space="preserve">근거</t>
  </si>
  <si>
    <t xml:space="preserve">2024-03</t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</si>
  <si>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Brand Cell </t>
    </r>
    <r>
      <rPr>
        <sz val="10"/>
        <rFont val="Noto Sans CJK SC"/>
        <family val="2"/>
      </rPr>
      <t xml:space="preserve">구조</t>
    </r>
  </si>
  <si>
    <t xml:space="preserve">2025-03</t>
  </si>
  <si>
    <r>
      <rPr>
        <sz val="10"/>
        <rFont val="Arial"/>
        <family val="0"/>
        <charset val="1"/>
      </rPr>
      <t xml:space="preserve">MD+1, </t>
    </r>
    <r>
      <rPr>
        <sz val="10"/>
        <rFont val="Noto Sans CJK SC"/>
        <family val="2"/>
      </rPr>
      <t xml:space="preserve">쇼룸매니저 </t>
    </r>
    <r>
      <rPr>
        <sz val="10"/>
        <rFont val="Arial"/>
        <family val="0"/>
        <charset val="1"/>
      </rPr>
      <t xml:space="preserve">1, CS</t>
    </r>
    <r>
      <rPr>
        <sz val="10"/>
        <rFont val="Noto Sans CJK SC"/>
        <family val="2"/>
      </rPr>
      <t xml:space="preserve">담당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</si>
  <si>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쇼룸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호점 오픈</t>
    </r>
  </si>
  <si>
    <t xml:space="preserve">2026-03</t>
  </si>
  <si>
    <r>
      <rPr>
        <sz val="10"/>
        <rFont val="Arial"/>
        <family val="0"/>
        <charset val="1"/>
      </rPr>
      <t xml:space="preserve">MD+2, </t>
    </r>
    <r>
      <rPr>
        <sz val="10"/>
        <rFont val="Noto Sans CJK SC"/>
        <family val="2"/>
      </rPr>
      <t xml:space="preserve">매장매니저 </t>
    </r>
    <r>
      <rPr>
        <sz val="10"/>
        <rFont val="Arial"/>
        <family val="0"/>
        <charset val="1"/>
      </rPr>
      <t xml:space="preserve">1, </t>
    </r>
    <r>
      <rPr>
        <sz val="10"/>
        <rFont val="Noto Sans CJK SC"/>
        <family val="2"/>
      </rPr>
      <t xml:space="preserve">홀세일영업 </t>
    </r>
    <r>
      <rPr>
        <sz val="10"/>
        <rFont val="Arial"/>
        <family val="0"/>
        <charset val="1"/>
      </rPr>
      <t xml:space="preserve">1, 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/AI</t>
    </r>
    <r>
      <rPr>
        <sz val="10"/>
        <rFont val="Noto Sans CJK SC"/>
        <family val="2"/>
      </rPr>
      <t xml:space="preserve">운영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</si>
  <si>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매장 확장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홀세일 진입</t>
    </r>
  </si>
  <si>
    <t xml:space="preserve">가상 인력 프로필</t>
  </si>
  <si>
    <r>
      <rPr>
        <sz val="10"/>
        <color rgb="FF6E699A"/>
        <rFont val="Arial"/>
        <family val="0"/>
        <charset val="1"/>
      </rPr>
      <t xml:space="preserve">53.Virtual Team Profiles &amp; Dashboard User Accounts </t>
    </r>
    <r>
      <rPr>
        <sz val="10"/>
        <color rgb="FF6E699A"/>
        <rFont val="Noto Sans CJK SC"/>
        <family val="2"/>
      </rPr>
      <t xml:space="preserve">동기화</t>
    </r>
  </si>
  <si>
    <t xml:space="preserve">이름</t>
  </si>
  <si>
    <t xml:space="preserve">직책</t>
  </si>
  <si>
    <t xml:space="preserve">역할</t>
  </si>
  <si>
    <t xml:space="preserve">이메일</t>
  </si>
  <si>
    <t xml:space="preserve">합류시점</t>
  </si>
  <si>
    <t xml:space="preserve">소속</t>
  </si>
  <si>
    <t xml:space="preserve">김민준</t>
  </si>
  <si>
    <t xml:space="preserve">NQNQ Brand Lead</t>
  </si>
  <si>
    <r>
      <rPr>
        <sz val="10"/>
        <rFont val="Noto Sans CJK SC"/>
        <family val="2"/>
      </rPr>
      <t xml:space="preserve">셀 총괄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 승인자</t>
    </r>
  </si>
  <si>
    <t xml:space="preserve">minjun.k@kakaostyle.com</t>
  </si>
  <si>
    <r>
      <rPr>
        <sz val="10"/>
        <rFont val="Arial"/>
        <family val="0"/>
        <charset val="1"/>
      </rPr>
      <t xml:space="preserve">Y1 </t>
    </r>
    <r>
      <rPr>
        <sz val="10"/>
        <rFont val="Noto Sans CJK SC"/>
        <family val="2"/>
      </rPr>
      <t xml:space="preserve">핵심팀</t>
    </r>
  </si>
  <si>
    <t xml:space="preserve">이서연</t>
  </si>
  <si>
    <r>
      <rPr>
        <sz val="10"/>
        <rFont val="Arial"/>
        <family val="0"/>
        <charset val="1"/>
      </rPr>
      <t xml:space="preserve">NQNQ </t>
    </r>
    <r>
      <rPr>
        <sz val="10"/>
        <rFont val="Noto Sans CJK SC"/>
        <family val="2"/>
      </rPr>
      <t xml:space="preserve">메인 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</si>
  <si>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카테고리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소싱 총괄</t>
    </r>
  </si>
  <si>
    <t xml:space="preserve">seoyeon.l@kakaostyle.com</t>
  </si>
  <si>
    <t xml:space="preserve">박지민</t>
  </si>
  <si>
    <t xml:space="preserve">Technical Designer</t>
  </si>
  <si>
    <r>
      <rPr>
        <sz val="10"/>
        <rFont val="Noto Sans CJK SC"/>
        <family val="2"/>
      </rPr>
      <t xml:space="preserve">체형 패턴 설계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샘플링 및 </t>
    </r>
    <r>
      <rPr>
        <sz val="10"/>
        <rFont val="Arial"/>
        <family val="0"/>
        <charset val="1"/>
      </rPr>
      <t xml:space="preserve">QC</t>
    </r>
  </si>
  <si>
    <t xml:space="preserve">jimin.p@kakaostyle.com</t>
  </si>
  <si>
    <t xml:space="preserve">최유진</t>
  </si>
  <si>
    <t xml:space="preserve">Content Marketer</t>
  </si>
  <si>
    <r>
      <rPr>
        <sz val="10"/>
        <rFont val="Noto Sans CJK SC"/>
        <family val="2"/>
      </rPr>
      <t xml:space="preserve">숏폼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릴스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인플루언서 협업</t>
    </r>
  </si>
  <si>
    <t xml:space="preserve">yujin.c@kakaostyle.com</t>
  </si>
  <si>
    <t xml:space="preserve">정현우</t>
  </si>
  <si>
    <t xml:space="preserve">Visual Designer</t>
  </si>
  <si>
    <r>
      <rPr>
        <sz val="10"/>
        <rFont val="Noto Sans CJK SC"/>
        <family val="2"/>
      </rPr>
      <t xml:space="preserve">상세페이지 및 로고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패키징 디자인</t>
    </r>
  </si>
  <si>
    <t xml:space="preserve">hyunwoo.j@kakaostyle.com</t>
  </si>
  <si>
    <t xml:space="preserve">오하늘</t>
  </si>
  <si>
    <t xml:space="preserve">MD 2</t>
  </si>
  <si>
    <r>
      <rPr>
        <sz val="10"/>
        <rFont val="Arial"/>
        <family val="0"/>
        <charset val="1"/>
      </rPr>
      <t xml:space="preserve">OUTER </t>
    </r>
    <r>
      <rPr>
        <sz val="10"/>
        <rFont val="Noto Sans CJK SC"/>
        <family val="2"/>
      </rPr>
      <t xml:space="preserve">카테고리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재고 관리</t>
    </r>
  </si>
  <si>
    <t xml:space="preserve">haneul.o@kakaostyle.com</t>
  </si>
  <si>
    <r>
      <rPr>
        <sz val="10"/>
        <rFont val="Arial"/>
        <family val="0"/>
        <charset val="1"/>
      </rPr>
      <t xml:space="preserve">Y2 </t>
    </r>
    <r>
      <rPr>
        <sz val="10"/>
        <rFont val="Noto Sans CJK SC"/>
        <family val="2"/>
      </rPr>
      <t xml:space="preserve">합류</t>
    </r>
  </si>
  <si>
    <t xml:space="preserve">신지원</t>
  </si>
  <si>
    <r>
      <rPr>
        <sz val="10"/>
        <rFont val="Noto Sans CJK SC"/>
        <family val="2"/>
      </rPr>
      <t xml:space="preserve">쇼룸 매니저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홍대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</si>
  <si>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오프라인 쇼룸 운영</t>
    </r>
    <r>
      <rPr>
        <sz val="10"/>
        <rFont val="Arial"/>
        <family val="0"/>
        <charset val="1"/>
      </rPr>
      <t xml:space="preserve">, R05 </t>
    </r>
    <r>
      <rPr>
        <sz val="10"/>
        <rFont val="Noto Sans CJK SC"/>
        <family val="2"/>
      </rPr>
      <t xml:space="preserve">반품 처리</t>
    </r>
  </si>
  <si>
    <t xml:space="preserve">jiwon.s@kakaostyle.com</t>
  </si>
  <si>
    <t xml:space="preserve">배소민</t>
  </si>
  <si>
    <r>
      <rPr>
        <sz val="10"/>
        <rFont val="Arial"/>
        <family val="0"/>
        <charset val="1"/>
      </rPr>
      <t xml:space="preserve">CS </t>
    </r>
    <r>
      <rPr>
        <sz val="10"/>
        <rFont val="Noto Sans CJK SC"/>
        <family val="2"/>
      </rPr>
      <t xml:space="preserve">전담 연동</t>
    </r>
  </si>
  <si>
    <r>
      <rPr>
        <sz val="10"/>
        <rFont val="Noto Sans CJK SC"/>
        <family val="2"/>
      </rPr>
      <t xml:space="preserve">고객 문의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반품 이슈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대응</t>
    </r>
  </si>
  <si>
    <t xml:space="preserve">somin.b@kakaostyle.com</t>
  </si>
  <si>
    <t xml:space="preserve">김태양</t>
  </si>
  <si>
    <t xml:space="preserve">MD 3</t>
  </si>
  <si>
    <r>
      <rPr>
        <sz val="10"/>
        <rFont val="Arial"/>
        <family val="0"/>
        <charset val="1"/>
      </rPr>
      <t xml:space="preserve">ACC·DRS </t>
    </r>
    <r>
      <rPr>
        <sz val="10"/>
        <rFont val="Noto Sans CJK SC"/>
        <family val="2"/>
      </rPr>
      <t xml:space="preserve">신규 카테고리 기획</t>
    </r>
  </si>
  <si>
    <t xml:space="preserve">taeyang.k@kakaostyle.com</t>
  </si>
  <si>
    <r>
      <rPr>
        <sz val="10"/>
        <rFont val="Arial"/>
        <family val="0"/>
        <charset val="1"/>
      </rPr>
      <t xml:space="preserve">Y3 </t>
    </r>
    <r>
      <rPr>
        <sz val="10"/>
        <rFont val="Noto Sans CJK SC"/>
        <family val="2"/>
      </rPr>
      <t xml:space="preserve">합류</t>
    </r>
  </si>
  <si>
    <t xml:space="preserve">유하은</t>
  </si>
  <si>
    <r>
      <rPr>
        <sz val="10"/>
        <rFont val="Arial"/>
        <family val="0"/>
        <charset val="1"/>
      </rPr>
      <t xml:space="preserve">MD 4(</t>
    </r>
    <r>
      <rPr>
        <sz val="10"/>
        <rFont val="Noto Sans CJK SC"/>
        <family val="2"/>
      </rPr>
      <t xml:space="preserve">홀세일 연계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</si>
  <si>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홀세일 파트너向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구성</t>
    </r>
  </si>
  <si>
    <t xml:space="preserve">haeun.yoo@kakaostyle.com</t>
  </si>
  <si>
    <t xml:space="preserve">조민재</t>
  </si>
  <si>
    <r>
      <rPr>
        <sz val="10"/>
        <rFont val="Noto Sans CJK SC"/>
        <family val="2"/>
      </rPr>
      <t xml:space="preserve">쇼룸 매니저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</si>
  <si>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오프라인 쇼룸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 </t>
    </r>
    <r>
      <rPr>
        <sz val="10"/>
        <rFont val="Arial"/>
        <family val="0"/>
        <charset val="1"/>
      </rPr>
      <t xml:space="preserve">KPI</t>
    </r>
  </si>
  <si>
    <t xml:space="preserve">minjae.jo@kakaostyle.com</t>
  </si>
  <si>
    <t xml:space="preserve">백승훈</t>
  </si>
  <si>
    <t xml:space="preserve">홀세일 영업</t>
  </si>
  <si>
    <r>
      <rPr>
        <sz val="10"/>
        <rFont val="Noto Sans CJK SC"/>
        <family val="2"/>
      </rPr>
      <t xml:space="preserve">편집숍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백화점 입점 영업</t>
    </r>
  </si>
  <si>
    <t xml:space="preserve">seunghun.b@kakaostyle.com</t>
  </si>
  <si>
    <t xml:space="preserve">김도윤</t>
  </si>
  <si>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/AI </t>
    </r>
    <r>
      <rPr>
        <sz val="10"/>
        <rFont val="Noto Sans CJK SC"/>
        <family val="2"/>
      </rPr>
      <t xml:space="preserve">운영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</si>
  <si>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알림 로직 튜닝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대시보드 지표 관리</t>
    </r>
  </si>
  <si>
    <t xml:space="preserve">doyoon.k@kakaostyle.com</t>
  </si>
  <si>
    <t xml:space="preserve">홀세일 파트너</t>
  </si>
  <si>
    <r>
      <rPr>
        <sz val="10"/>
        <color rgb="FF6E699A"/>
        <rFont val="Arial"/>
        <family val="0"/>
        <charset val="1"/>
      </rPr>
      <t xml:space="preserve">add_wholesale.py PARTNER_NAMES — </t>
    </r>
    <r>
      <rPr>
        <sz val="10"/>
        <color rgb="FF6E699A"/>
        <rFont val="Noto Sans CJK SC"/>
        <family val="2"/>
      </rPr>
      <t xml:space="preserve">파일럿 </t>
    </r>
    <r>
      <rPr>
        <sz val="10"/>
        <color rgb="FF6E699A"/>
        <rFont val="Arial"/>
        <family val="0"/>
        <charset val="1"/>
      </rPr>
      <t xml:space="preserve">8</t>
    </r>
    <r>
      <rPr>
        <sz val="10"/>
        <color rgb="FF6E699A"/>
        <rFont val="Noto Sans CJK SC"/>
        <family val="2"/>
      </rPr>
      <t xml:space="preserve">곳</t>
    </r>
  </si>
  <si>
    <t xml:space="preserve">파트너명</t>
  </si>
  <si>
    <r>
      <rPr>
        <b val="true"/>
        <sz val="10"/>
        <color rgb="FFFFFFFF"/>
        <rFont val="Noto Sans CJK SC"/>
        <family val="2"/>
      </rPr>
      <t xml:space="preserve">주문주기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</si>
  <si>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가격비율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정가대비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</si>
  <si>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성수 편집숍 </t>
    </r>
    <r>
      <rPr>
        <sz val="10"/>
        <rFont val="Arial"/>
        <family val="0"/>
        <charset val="1"/>
      </rPr>
      <t xml:space="preserve">A</t>
    </r>
  </si>
  <si>
    <t xml:space="preserve">파일럿</t>
  </si>
  <si>
    <r>
      <rPr>
        <sz val="10"/>
        <rFont val="Noto Sans CJK SC"/>
        <family val="2"/>
      </rPr>
      <t xml:space="preserve">홍대 편집숍 </t>
    </r>
    <r>
      <rPr>
        <sz val="10"/>
        <rFont val="Arial"/>
        <family val="0"/>
        <charset val="1"/>
      </rPr>
      <t xml:space="preserve">B</t>
    </r>
  </si>
  <si>
    <t xml:space="preserve">강남 백화점 영캐주얼관</t>
  </si>
  <si>
    <r>
      <rPr>
        <sz val="10"/>
        <rFont val="Noto Sans CJK SC"/>
        <family val="2"/>
      </rPr>
      <t xml:space="preserve">부산 편집숍 </t>
    </r>
    <r>
      <rPr>
        <sz val="10"/>
        <rFont val="Arial"/>
        <family val="0"/>
        <charset val="1"/>
      </rPr>
      <t xml:space="preserve">C</t>
    </r>
  </si>
  <si>
    <t xml:space="preserve">대구 백화점 영캐주얼관</t>
  </si>
  <si>
    <r>
      <rPr>
        <sz val="10"/>
        <rFont val="Noto Sans CJK SC"/>
        <family val="2"/>
      </rPr>
      <t xml:space="preserve">온라인 편집숍 </t>
    </r>
    <r>
      <rPr>
        <sz val="10"/>
        <rFont val="Arial"/>
        <family val="0"/>
        <charset val="1"/>
      </rPr>
      <t xml:space="preserve">D(</t>
    </r>
    <r>
      <rPr>
        <sz val="10"/>
        <rFont val="Noto Sans CJK SC"/>
        <family val="2"/>
      </rPr>
      <t xml:space="preserve">자체몰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</si>
  <si>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제주 편집숍 </t>
    </r>
    <r>
      <rPr>
        <sz val="10"/>
        <rFont val="Arial"/>
        <family val="0"/>
        <charset val="1"/>
      </rPr>
      <t xml:space="preserve">E</t>
    </r>
  </si>
  <si>
    <r>
      <rPr>
        <sz val="10"/>
        <rFont val="Noto Sans CJK SC"/>
        <family val="2"/>
      </rPr>
      <t xml:space="preserve">인천 편집숍 </t>
    </r>
    <r>
      <rPr>
        <sz val="10"/>
        <rFont val="Arial"/>
        <family val="0"/>
        <charset val="1"/>
      </rPr>
      <t xml:space="preserve">F</t>
    </r>
  </si>
  <si>
    <t xml:space="preserve">실행 결과 요약</t>
  </si>
  <si>
    <r>
      <rPr>
        <sz val="10"/>
        <color rgb="FF6E699A"/>
        <rFont val="Noto Sans CJK SC"/>
        <family val="2"/>
      </rPr>
      <t xml:space="preserve">마지막 </t>
    </r>
    <r>
      <rPr>
        <sz val="10"/>
        <color rgb="FF6E699A"/>
        <rFont val="Arial"/>
        <family val="0"/>
        <charset val="1"/>
      </rPr>
      <t xml:space="preserve">generate_v4.py </t>
    </r>
    <r>
      <rPr>
        <sz val="10"/>
        <color rgb="FF6E699A"/>
        <rFont val="Noto Sans CJK SC"/>
        <family val="2"/>
      </rPr>
      <t xml:space="preserve">실행의 목표 대비 실제 </t>
    </r>
    <r>
      <rPr>
        <sz val="10"/>
        <color rgb="FF6E699A"/>
        <rFont val="Arial"/>
        <family val="0"/>
        <charset val="1"/>
      </rPr>
      <t xml:space="preserve">(</t>
    </r>
    <r>
      <rPr>
        <sz val="10"/>
        <color rgb="FF6E699A"/>
        <rFont val="Noto Sans CJK SC"/>
        <family val="2"/>
      </rPr>
      <t xml:space="preserve">검증용</t>
    </r>
    <r>
      <rPr>
        <sz val="10"/>
        <color rgb="FF6E699A"/>
        <rFont val="Arial"/>
        <family val="0"/>
        <charset val="1"/>
      </rPr>
      <t xml:space="preserve">, nqnq.db </t>
    </r>
    <r>
      <rPr>
        <sz val="10"/>
        <color rgb="FF6E699A"/>
        <rFont val="Noto Sans CJK SC"/>
        <family val="2"/>
      </rPr>
      <t xml:space="preserve">기준</t>
    </r>
    <r>
      <rPr>
        <sz val="10"/>
        <color rgb="FF6E699A"/>
        <rFont val="Arial"/>
        <family val="0"/>
        <charset val="1"/>
      </rPr>
      <t xml:space="preserve">, SKU 530</t>
    </r>
    <r>
      <rPr>
        <sz val="10"/>
        <color rgb="FF6E699A"/>
        <rFont val="Noto Sans CJK SC"/>
        <family val="2"/>
      </rPr>
      <t xml:space="preserve">개 확장 반영</t>
    </r>
    <r>
      <rPr>
        <sz val="10"/>
        <color rgb="FF6E699A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</si>
  <si>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목표매출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</si>
  <si>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실제매출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</si>
  <si>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정확도</t>
  </si>
  <si>
    <t xml:space="preserve">주문건수</t>
  </si>
  <si>
    <r>
      <rPr>
        <sz val="10"/>
        <color rgb="FF6E699A"/>
        <rFont val="Noto Sans CJK SC"/>
        <family val="2"/>
      </rPr>
      <t xml:space="preserve">※ 홀세일 파일럿</t>
    </r>
    <r>
      <rPr>
        <sz val="10"/>
        <color rgb="FF6E699A"/>
        <rFont val="Arial"/>
        <family val="0"/>
        <charset val="1"/>
      </rPr>
      <t xml:space="preserve">(2.6~2.8</t>
    </r>
    <r>
      <rPr>
        <sz val="10"/>
        <color rgb="FF6E699A"/>
        <rFont val="Noto Sans CJK SC"/>
        <family val="2"/>
      </rPr>
      <t xml:space="preserve">억</t>
    </r>
    <r>
      <rPr>
        <sz val="10"/>
        <color rgb="FF6E699A"/>
        <rFont val="Arial"/>
        <family val="0"/>
        <charset val="1"/>
      </rPr>
      <t xml:space="preserve">) </t>
    </r>
    <r>
      <rPr>
        <sz val="10"/>
        <color rgb="FF6E699A"/>
        <rFont val="Noto Sans CJK SC"/>
        <family val="2"/>
      </rPr>
      <t xml:space="preserve">및 미달 시나리오 결과는 별도 시트</t>
    </r>
    <r>
      <rPr>
        <sz val="10"/>
        <color rgb="FF6E699A"/>
        <rFont val="Arial"/>
        <family val="0"/>
        <charset val="1"/>
      </rPr>
      <t xml:space="preserve">/DB </t>
    </r>
    <r>
      <rPr>
        <sz val="10"/>
        <color rgb="FF6E699A"/>
        <rFont val="Noto Sans CJK SC"/>
        <family val="2"/>
      </rPr>
      <t xml:space="preserve">참고 — </t>
    </r>
    <r>
      <rPr>
        <sz val="10"/>
        <color rgb="FF6E699A"/>
        <rFont val="Arial"/>
        <family val="0"/>
        <charset val="1"/>
      </rPr>
      <t xml:space="preserve">SCENARIO_README.md</t>
    </r>
  </si>
  <si>
    <r>
      <rPr>
        <sz val="10"/>
        <color rgb="FF6E699A"/>
        <rFont val="Arial"/>
        <family val="0"/>
        <charset val="1"/>
      </rPr>
      <t xml:space="preserve">※ Q7~Q10 </t>
    </r>
    <r>
      <rPr>
        <sz val="10"/>
        <color rgb="FF6E699A"/>
        <rFont val="Noto Sans CJK SC"/>
        <family val="2"/>
      </rPr>
      <t xml:space="preserve">과달성</t>
    </r>
    <r>
      <rPr>
        <sz val="10"/>
        <color rgb="FF6E699A"/>
        <rFont val="Arial"/>
        <family val="0"/>
        <charset val="1"/>
      </rPr>
      <t xml:space="preserve">(108~118%)</t>
    </r>
    <r>
      <rPr>
        <sz val="10"/>
        <color rgb="FF6E699A"/>
        <rFont val="Noto Sans CJK SC"/>
        <family val="2"/>
      </rPr>
      <t xml:space="preserve">은 롱테일</t>
    </r>
    <r>
      <rPr>
        <sz val="10"/>
        <color rgb="FF6E699A"/>
        <rFont val="Arial"/>
        <family val="0"/>
        <charset val="1"/>
      </rPr>
      <t xml:space="preserve">/</t>
    </r>
    <r>
      <rPr>
        <sz val="10"/>
        <color rgb="FF6E699A"/>
        <rFont val="Noto Sans CJK SC"/>
        <family val="2"/>
      </rPr>
      <t xml:space="preserve">인기도 티어 도입 후 </t>
    </r>
    <r>
      <rPr>
        <sz val="10"/>
        <color rgb="FF6E699A"/>
        <rFont val="Arial"/>
        <family val="0"/>
        <charset val="1"/>
      </rPr>
      <t xml:space="preserve">HERO </t>
    </r>
    <r>
      <rPr>
        <sz val="10"/>
        <color rgb="FF6E699A"/>
        <rFont val="Noto Sans CJK SC"/>
        <family val="2"/>
      </rPr>
      <t xml:space="preserve">상품 집중구매 효과로 해석 — 억지 조정 없이 유지</t>
    </r>
  </si>
  <si>
    <r>
      <rPr>
        <b val="true"/>
        <sz val="14"/>
        <color rgb="FF1C1A2B"/>
        <rFont val="Noto Sans CJK SC"/>
        <family val="2"/>
      </rPr>
      <t xml:space="preserve">디자인 라인업 </t>
    </r>
    <r>
      <rPr>
        <b val="true"/>
        <sz val="14"/>
        <color rgb="FF1C1A2B"/>
        <rFont val="Arial"/>
        <family val="0"/>
        <charset val="1"/>
      </rPr>
      <t xml:space="preserve">&amp; </t>
    </r>
    <r>
      <rPr>
        <b val="true"/>
        <sz val="14"/>
        <color rgb="FF1C1A2B"/>
        <rFont val="Noto Sans CJK SC"/>
        <family val="2"/>
      </rPr>
      <t xml:space="preserve">인기도 티어</t>
    </r>
  </si>
  <si>
    <r>
      <rPr>
        <sz val="10"/>
        <color rgb="FF6E699A"/>
        <rFont val="Arial"/>
        <family val="0"/>
        <charset val="1"/>
      </rPr>
      <t xml:space="preserve">generate_v4.py DESIGNS_BY_CATEGORY / ACC_TIER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21.Core Product Categories </t>
    </r>
    <r>
      <rPr>
        <sz val="10"/>
        <color rgb="FF6E699A"/>
        <rFont val="Noto Sans CJK SC"/>
        <family val="2"/>
      </rPr>
      <t xml:space="preserve">동기화</t>
    </r>
  </si>
  <si>
    <t xml:space="preserve">디자인명</t>
  </si>
  <si>
    <t xml:space="preserve">인기도 티어</t>
  </si>
  <si>
    <t xml:space="preserve">가중치</t>
  </si>
  <si>
    <t xml:space="preserve">스퀘어라인 기본티</t>
  </si>
  <si>
    <t xml:space="preserve">HERO</t>
  </si>
  <si>
    <t xml:space="preserve">브이넥 니트</t>
  </si>
  <si>
    <t xml:space="preserve">STEADY</t>
  </si>
  <si>
    <t xml:space="preserve">포켓 셔츠</t>
  </si>
  <si>
    <t xml:space="preserve">오버사이즈 맨투맨</t>
  </si>
  <si>
    <t xml:space="preserve">NICHE</t>
  </si>
  <si>
    <t xml:space="preserve">집업 후드</t>
  </si>
  <si>
    <r>
      <rPr>
        <sz val="10"/>
        <rFont val="Arial"/>
        <family val="0"/>
        <charset val="1"/>
      </rPr>
      <t xml:space="preserve">5-Length </t>
    </r>
    <r>
      <rPr>
        <sz val="10"/>
        <rFont val="Noto Sans CJK SC"/>
        <family val="2"/>
      </rPr>
      <t xml:space="preserve">슬랙스</t>
    </r>
  </si>
  <si>
    <t xml:space="preserve">핀턱 와이드</t>
  </si>
  <si>
    <t xml:space="preserve">테이퍼드 데님</t>
  </si>
  <si>
    <t xml:space="preserve">조거 팬츠</t>
  </si>
  <si>
    <t xml:space="preserve">퍼스널컬러 베이직 탑</t>
  </si>
  <si>
    <t xml:space="preserve">퍼스널컬러 니트 가디건</t>
  </si>
  <si>
    <t xml:space="preserve">드롭숄더 아우터</t>
  </si>
  <si>
    <t xml:space="preserve">롱 트렌치코트</t>
  </si>
  <si>
    <t xml:space="preserve">숏패딩</t>
  </si>
  <si>
    <t xml:space="preserve">백</t>
  </si>
  <si>
    <t xml:space="preserve">벨트</t>
  </si>
  <si>
    <t xml:space="preserve">스카프</t>
  </si>
  <si>
    <t xml:space="preserve">모자</t>
  </si>
  <si>
    <t xml:space="preserve">파우치</t>
  </si>
  <si>
    <t xml:space="preserve">체형핏 원피스</t>
  </si>
  <si>
    <t xml:space="preserve">니트 원피스</t>
  </si>
  <si>
    <t xml:space="preserve">인기도 티어 검증</t>
  </si>
  <si>
    <r>
      <rPr>
        <sz val="10"/>
        <color rgb="FF6E699A"/>
        <rFont val="Arial"/>
        <family val="0"/>
        <charset val="1"/>
      </rPr>
      <t xml:space="preserve">nqnq.db </t>
    </r>
    <r>
      <rPr>
        <sz val="10"/>
        <color rgb="FF6E699A"/>
        <rFont val="Noto Sans CJK SC"/>
        <family val="2"/>
      </rPr>
      <t xml:space="preserve">실측 — 설계 가중치 대비 실제 판매 비율 </t>
    </r>
    <r>
      <rPr>
        <sz val="10"/>
        <color rgb="FF6E699A"/>
        <rFont val="Arial"/>
        <family val="0"/>
        <charset val="1"/>
      </rPr>
      <t xml:space="preserve">(</t>
    </r>
    <r>
      <rPr>
        <sz val="10"/>
        <color rgb="FF6E699A"/>
        <rFont val="Noto Sans CJK SC"/>
        <family val="2"/>
      </rPr>
      <t xml:space="preserve">롱테일 검증</t>
    </r>
    <r>
      <rPr>
        <sz val="10"/>
        <color rgb="FF6E699A"/>
        <rFont val="Arial"/>
        <family val="0"/>
        <charset val="1"/>
      </rPr>
      <t xml:space="preserve">)</t>
    </r>
  </si>
  <si>
    <t xml:space="preserve">티어</t>
  </si>
  <si>
    <t xml:space="preserve">설계 가중치</t>
  </si>
  <si>
    <r>
      <rPr>
        <b val="true"/>
        <sz val="10"/>
        <color rgb="FFFFFFFF"/>
        <rFont val="Arial"/>
        <family val="0"/>
        <charset val="1"/>
      </rPr>
      <t xml:space="preserve">SKU </t>
    </r>
    <r>
      <rPr>
        <b val="true"/>
        <sz val="10"/>
        <color rgb="FFFFFFFF"/>
        <rFont val="Noto Sans CJK SC"/>
        <family val="2"/>
      </rPr>
      <t xml:space="preserve">수</t>
    </r>
  </si>
  <si>
    <r>
      <rPr>
        <b val="true"/>
        <sz val="10"/>
        <color rgb="FFFFFFFF"/>
        <rFont val="Noto Sans CJK SC"/>
        <family val="2"/>
      </rPr>
      <t xml:space="preserve">실측 평균 판매량</t>
    </r>
    <r>
      <rPr>
        <b val="true"/>
        <sz val="10"/>
        <color rgb="FFFFFFFF"/>
        <rFont val="Arial"/>
        <family val="0"/>
        <charset val="1"/>
      </rPr>
      <t xml:space="preserve">/SKU(</t>
    </r>
    <r>
      <rPr>
        <b val="true"/>
        <sz val="10"/>
        <color rgb="FFFFFFFF"/>
        <rFont val="Noto Sans CJK SC"/>
        <family val="2"/>
      </rPr>
      <t xml:space="preserve">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</si>
  <si>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설계비율</t>
  </si>
  <si>
    <t xml:space="preserve">실측비율</t>
  </si>
  <si>
    <r>
      <rPr>
        <sz val="10"/>
        <color rgb="FF6E699A"/>
        <rFont val="Noto Sans CJK SC"/>
        <family val="2"/>
      </rPr>
      <t xml:space="preserve">설계비율</t>
    </r>
    <r>
      <rPr>
        <sz val="10"/>
        <color rgb="FF6E699A"/>
        <rFont val="Arial"/>
        <family val="0"/>
        <charset val="1"/>
      </rPr>
      <t xml:space="preserve">·</t>
    </r>
    <r>
      <rPr>
        <sz val="10"/>
        <color rgb="FF6E699A"/>
        <rFont val="Noto Sans CJK SC"/>
        <family val="2"/>
      </rPr>
      <t xml:space="preserve">실측비율이 </t>
    </r>
    <r>
      <rPr>
        <sz val="10"/>
        <color rgb="FF6E699A"/>
        <rFont val="Arial"/>
        <family val="0"/>
        <charset val="1"/>
      </rPr>
      <t xml:space="preserve">STEADY(=1.00) </t>
    </r>
    <r>
      <rPr>
        <sz val="10"/>
        <color rgb="FF6E699A"/>
        <rFont val="Noto Sans CJK SC"/>
        <family val="2"/>
      </rPr>
      <t xml:space="preserve">기준 유사할수록 롱테일 구조가 의도대로 작동한 것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</si>
</sst>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A2B"/>
      <name val="Arial"/>
      <family val="0"/>
      <charset val="1"/>
    </font>
    <font>
      <b val="true"/>
      <sz val="16"/>
      <color rgb="FF1C1A2B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4"/>
      <color rgb="FF1C1A2B"/>
      <name val="Noto Sans CJK SC"/>
      <family val="2"/>
    </font>
    <font>
      <sz val="10"/>
      <color rgb="FF6E699A"/>
      <name val="Arial"/>
      <family val="0"/>
      <charset val="1"/>
    </font>
    <font>
      <sz val="10"/>
      <color rgb="FF6E699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4"/>
      <color rgb="FF1C1A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F3DFF"/>
        <bgColor rgb="FF333399"/>
      </patternFill>
    </fill>
    <fill>
      <patternFill patternType="solid">
        <fgColor rgb="FFF5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DFF3"/>
      </left>
      <right style="thin">
        <color rgb="FFE4DFF3"/>
      </right>
      <top style="thin">
        <color rgb="FFE4DFF3"/>
      </top>
      <bottom style="thin">
        <color rgb="FFE4DF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3FA"/>
      <rgbColor rgb="FFCCFFFF"/>
      <rgbColor rgb="FF660066"/>
      <rgbColor rgb="FFFF8080"/>
      <rgbColor rgb="FF0066CC"/>
      <rgbColor rgb="FFE4DF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F3DFF"/>
      <rgbColor rgb="FF33CCCC"/>
      <rgbColor rgb="FF99CC00"/>
      <rgbColor rgb="FFFFCC00"/>
      <rgbColor rgb="FFFF9900"/>
      <rgbColor rgb="FFFF6600"/>
      <rgbColor rgb="FF6E699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21.75" hidden="false" customHeight="true" outlineLevel="0" collapsed="false">
      <c r="A1" s="5" t="s">
        <v>23</v>
      </c>
    </row>
    <row r="2" customFormat="false" ht="18" hidden="false" customHeight="true" outlineLevel="0" collapsed="false">
      <c r="A2" s="6" t="s">
        <v>24</v>
      </c>
    </row>
    <row r="4" customFormat="false" ht="30" hidden="false" customHeight="true" outlineLevel="0" collapsed="false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</row>
    <row r="5" customFormat="false" ht="15" hidden="false" customHeight="false" outlineLevel="0" collapsed="false">
      <c r="A5" s="8" t="s">
        <v>33</v>
      </c>
      <c r="B5" s="8" t="s">
        <v>34</v>
      </c>
      <c r="C5" s="8" t="s">
        <v>35</v>
      </c>
      <c r="D5" s="8" t="s">
        <v>36</v>
      </c>
      <c r="E5" s="8" t="n">
        <v>2000000000</v>
      </c>
      <c r="F5" s="8" t="n">
        <v>20</v>
      </c>
      <c r="G5" s="8" t="s">
        <v>37</v>
      </c>
      <c r="H5" s="8" t="s">
        <v>38</v>
      </c>
    </row>
    <row r="6" customFormat="false" ht="15" hidden="false" customHeight="false" outlineLevel="0" collapsed="false">
      <c r="A6" s="9" t="s">
        <v>39</v>
      </c>
      <c r="B6" s="9" t="s">
        <v>40</v>
      </c>
      <c r="C6" s="9" t="s">
        <v>41</v>
      </c>
      <c r="D6" s="9" t="s">
        <v>36</v>
      </c>
      <c r="E6" s="9" t="n">
        <v>2200000000</v>
      </c>
      <c r="F6" s="9" t="n">
        <v>22</v>
      </c>
      <c r="G6" s="9" t="s">
        <v>37</v>
      </c>
      <c r="H6" s="10" t="s">
        <v>42</v>
      </c>
    </row>
    <row r="7" customFormat="false" ht="15" hidden="false" customHeight="false" outlineLevel="0" collapsed="false">
      <c r="A7" s="8" t="s">
        <v>43</v>
      </c>
      <c r="B7" s="8" t="s">
        <v>44</v>
      </c>
      <c r="C7" s="8" t="s">
        <v>45</v>
      </c>
      <c r="D7" s="8" t="s">
        <v>36</v>
      </c>
      <c r="E7" s="8" t="n">
        <v>2800000000</v>
      </c>
      <c r="F7" s="8" t="n">
        <v>28</v>
      </c>
      <c r="G7" s="8" t="s">
        <v>37</v>
      </c>
      <c r="H7" s="8" t="s">
        <v>46</v>
      </c>
    </row>
    <row r="8" customFormat="false" ht="15" hidden="false" customHeight="false" outlineLevel="0" collapsed="false">
      <c r="A8" s="9" t="s">
        <v>47</v>
      </c>
      <c r="B8" s="9" t="s">
        <v>48</v>
      </c>
      <c r="C8" s="9" t="s">
        <v>49</v>
      </c>
      <c r="D8" s="9" t="s">
        <v>36</v>
      </c>
      <c r="E8" s="10" t="n">
        <v>3000000000</v>
      </c>
      <c r="F8" s="10" t="n">
        <v>30</v>
      </c>
      <c r="G8" s="9" t="s">
        <v>37</v>
      </c>
      <c r="H8" s="10" t="s">
        <v>50</v>
      </c>
    </row>
    <row r="9" customFormat="false" ht="15" hidden="false" customHeight="false" outlineLevel="0" collapsed="false">
      <c r="A9" s="8" t="s">
        <v>51</v>
      </c>
      <c r="B9" s="8" t="s">
        <v>52</v>
      </c>
      <c r="C9" s="8" t="s">
        <v>53</v>
      </c>
      <c r="D9" s="8" t="s">
        <v>54</v>
      </c>
      <c r="E9" s="8" t="n">
        <v>8000000000</v>
      </c>
      <c r="F9" s="8" t="n">
        <v>80</v>
      </c>
      <c r="G9" s="8" t="s">
        <v>55</v>
      </c>
      <c r="H9" s="8" t="s">
        <v>56</v>
      </c>
    </row>
    <row r="10" customFormat="false" ht="15" hidden="false" customHeight="false" outlineLevel="0" collapsed="false">
      <c r="A10" s="9" t="s">
        <v>57</v>
      </c>
      <c r="B10" s="9" t="s">
        <v>58</v>
      </c>
      <c r="C10" s="9" t="s">
        <v>59</v>
      </c>
      <c r="D10" s="9" t="s">
        <v>54</v>
      </c>
      <c r="E10" s="10" t="n">
        <v>8800000000</v>
      </c>
      <c r="F10" s="10" t="n">
        <v>88</v>
      </c>
      <c r="G10" s="9" t="s">
        <v>37</v>
      </c>
      <c r="H10" s="10" t="s">
        <v>42</v>
      </c>
    </row>
    <row r="11" customFormat="false" ht="15" hidden="false" customHeight="false" outlineLevel="0" collapsed="false">
      <c r="A11" s="8" t="s">
        <v>60</v>
      </c>
      <c r="B11" s="8" t="s">
        <v>61</v>
      </c>
      <c r="C11" s="8" t="s">
        <v>62</v>
      </c>
      <c r="D11" s="8" t="s">
        <v>54</v>
      </c>
      <c r="E11" s="8" t="n">
        <v>11200000000</v>
      </c>
      <c r="F11" s="8" t="n">
        <v>112</v>
      </c>
      <c r="G11" s="8" t="s">
        <v>37</v>
      </c>
      <c r="H11" s="8" t="s">
        <v>63</v>
      </c>
    </row>
    <row r="12" customFormat="false" ht="15" hidden="false" customHeight="false" outlineLevel="0" collapsed="false">
      <c r="A12" s="9" t="s">
        <v>64</v>
      </c>
      <c r="B12" s="9" t="s">
        <v>65</v>
      </c>
      <c r="C12" s="9" t="s">
        <v>66</v>
      </c>
      <c r="D12" s="9" t="s">
        <v>54</v>
      </c>
      <c r="E12" s="10" t="n">
        <v>12000000000</v>
      </c>
      <c r="F12" s="10" t="n">
        <v>120</v>
      </c>
      <c r="G12" s="9" t="s">
        <v>37</v>
      </c>
      <c r="H12" s="10" t="s">
        <v>50</v>
      </c>
    </row>
    <row r="13" customFormat="false" ht="15" hidden="false" customHeight="false" outlineLevel="0" collapsed="false">
      <c r="A13" s="8" t="s">
        <v>67</v>
      </c>
      <c r="B13" s="8" t="s">
        <v>68</v>
      </c>
      <c r="C13" s="8" t="s">
        <v>69</v>
      </c>
      <c r="D13" s="8" t="s">
        <v>70</v>
      </c>
      <c r="E13" s="8" t="n">
        <v>20000000000</v>
      </c>
      <c r="F13" s="8" t="n">
        <v>200</v>
      </c>
      <c r="G13" s="8" t="s">
        <v>71</v>
      </c>
      <c r="H13" s="8" t="s">
        <v>72</v>
      </c>
    </row>
    <row r="14" customFormat="false" ht="15" hidden="false" customHeight="false" outlineLevel="0" collapsed="false">
      <c r="A14" s="9" t="s">
        <v>73</v>
      </c>
      <c r="B14" s="9" t="s">
        <v>74</v>
      </c>
      <c r="C14" s="9" t="s">
        <v>75</v>
      </c>
      <c r="D14" s="9" t="s">
        <v>70</v>
      </c>
      <c r="E14" s="10" t="n">
        <v>22000000000</v>
      </c>
      <c r="F14" s="10" t="n">
        <v>220</v>
      </c>
      <c r="G14" s="9" t="s">
        <v>37</v>
      </c>
      <c r="H14" s="10" t="s">
        <v>76</v>
      </c>
    </row>
    <row r="15" customFormat="false" ht="15" hidden="false" customHeight="false" outlineLevel="0" collapsed="false">
      <c r="F15" s="11" t="s">
        <v>77</v>
      </c>
      <c r="G15" s="2" t="n">
        <f aca="false">SUM(F5:F8)</f>
        <v>100</v>
      </c>
      <c r="H15" s="2" t="n">
        <f aca="false">SUM(F9:F12)</f>
        <v>400</v>
      </c>
      <c r="I15" s="2" t="n">
        <f aca="false">F13+F14</f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5" t="s">
        <v>78</v>
      </c>
    </row>
    <row r="2" customFormat="false" ht="18" hidden="false" customHeight="true" outlineLevel="0" collapsed="false">
      <c r="A2" s="6" t="s">
        <v>79</v>
      </c>
    </row>
    <row r="4" customFormat="false" ht="30" hidden="false" customHeight="true" outlineLevel="0" collapsed="false">
      <c r="A4" s="7" t="s">
        <v>80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  <c r="G4" s="7" t="s">
        <v>86</v>
      </c>
      <c r="H4" s="7" t="s">
        <v>87</v>
      </c>
      <c r="I4" s="7" t="s">
        <v>88</v>
      </c>
      <c r="J4" s="12" t="s">
        <v>89</v>
      </c>
    </row>
    <row r="5" customFormat="false" ht="15" hidden="false" customHeight="false" outlineLevel="0" collapsed="false">
      <c r="A5" s="8" t="s">
        <v>90</v>
      </c>
      <c r="B5" s="13" t="s">
        <v>91</v>
      </c>
      <c r="C5" s="8" t="s">
        <v>34</v>
      </c>
      <c r="D5" s="13" t="n">
        <v>5</v>
      </c>
      <c r="E5" s="8" t="s">
        <v>92</v>
      </c>
      <c r="F5" s="8" t="s">
        <v>93</v>
      </c>
      <c r="G5" s="8" t="s">
        <v>94</v>
      </c>
      <c r="H5" s="13" t="n">
        <v>39000</v>
      </c>
      <c r="I5" s="13" t="n">
        <v>0.15</v>
      </c>
      <c r="J5" s="13" t="n">
        <f aca="false">D5*3*3*2</f>
        <v>90</v>
      </c>
    </row>
    <row r="6" customFormat="false" ht="15" hidden="false" customHeight="false" outlineLevel="0" collapsed="false">
      <c r="A6" s="9" t="s">
        <v>95</v>
      </c>
      <c r="B6" s="10" t="s">
        <v>96</v>
      </c>
      <c r="C6" s="9" t="s">
        <v>34</v>
      </c>
      <c r="D6" s="10" t="n">
        <v>4</v>
      </c>
      <c r="E6" s="9" t="s">
        <v>97</v>
      </c>
      <c r="F6" s="9" t="s">
        <v>98</v>
      </c>
      <c r="G6" s="9" t="s">
        <v>99</v>
      </c>
      <c r="H6" s="10" t="n">
        <v>49000</v>
      </c>
      <c r="I6" s="10" t="n">
        <v>0.2</v>
      </c>
      <c r="J6" s="10" t="n">
        <f aca="false">D6*2*5*3</f>
        <v>120</v>
      </c>
    </row>
    <row r="7" customFormat="false" ht="15" hidden="false" customHeight="false" outlineLevel="0" collapsed="false">
      <c r="A7" s="8" t="s">
        <v>100</v>
      </c>
      <c r="B7" s="13" t="s">
        <v>101</v>
      </c>
      <c r="C7" s="8" t="s">
        <v>34</v>
      </c>
      <c r="D7" s="13" t="n">
        <v>2</v>
      </c>
      <c r="E7" s="8" t="s">
        <v>102</v>
      </c>
      <c r="F7" s="8" t="s">
        <v>93</v>
      </c>
      <c r="G7" s="8" t="s">
        <v>103</v>
      </c>
      <c r="H7" s="13" t="n">
        <v>35000</v>
      </c>
      <c r="I7" s="13" t="n">
        <v>0.1</v>
      </c>
      <c r="J7" s="13" t="n">
        <f aca="false">D7*3*3*3</f>
        <v>54</v>
      </c>
    </row>
    <row r="8" customFormat="false" ht="15" hidden="false" customHeight="false" outlineLevel="0" collapsed="false">
      <c r="A8" s="9" t="s">
        <v>104</v>
      </c>
      <c r="B8" s="10" t="s">
        <v>105</v>
      </c>
      <c r="C8" s="9" t="s">
        <v>52</v>
      </c>
      <c r="D8" s="10" t="n">
        <v>3</v>
      </c>
      <c r="E8" s="9" t="s">
        <v>92</v>
      </c>
      <c r="F8" s="9" t="s">
        <v>93</v>
      </c>
      <c r="G8" s="9" t="s">
        <v>106</v>
      </c>
      <c r="H8" s="10" t="n">
        <v>89000</v>
      </c>
      <c r="I8" s="10" t="n">
        <v>0.18</v>
      </c>
      <c r="J8" s="10" t="n">
        <f aca="false">D8*3*3*4</f>
        <v>108</v>
      </c>
    </row>
    <row r="9" customFormat="false" ht="15" hidden="false" customHeight="false" outlineLevel="0" collapsed="false">
      <c r="A9" s="8" t="s">
        <v>107</v>
      </c>
      <c r="B9" s="13" t="s">
        <v>108</v>
      </c>
      <c r="C9" s="8" t="s">
        <v>68</v>
      </c>
      <c r="D9" s="13" t="n">
        <v>1</v>
      </c>
      <c r="E9" s="8" t="s">
        <v>109</v>
      </c>
      <c r="F9" s="8" t="s">
        <v>110</v>
      </c>
      <c r="G9" s="8" t="s">
        <v>111</v>
      </c>
      <c r="H9" s="13" t="n">
        <v>19000</v>
      </c>
      <c r="I9" s="13" t="n">
        <v>0.08</v>
      </c>
      <c r="J9" s="13" t="n">
        <f aca="false">5*1*4</f>
        <v>20</v>
      </c>
    </row>
    <row r="10" customFormat="false" ht="15" hidden="false" customHeight="false" outlineLevel="0" collapsed="false">
      <c r="A10" s="9" t="s">
        <v>112</v>
      </c>
      <c r="B10" s="10" t="s">
        <v>113</v>
      </c>
      <c r="C10" s="9" t="s">
        <v>68</v>
      </c>
      <c r="D10" s="10" t="n">
        <v>2</v>
      </c>
      <c r="E10" s="9" t="s">
        <v>92</v>
      </c>
      <c r="F10" s="9" t="s">
        <v>93</v>
      </c>
      <c r="G10" s="9" t="s">
        <v>114</v>
      </c>
      <c r="H10" s="10" t="n">
        <v>59000</v>
      </c>
      <c r="I10" s="10" t="n">
        <v>0.15</v>
      </c>
      <c r="J10" s="10" t="n">
        <f aca="false">D10*3*3*2</f>
        <v>36</v>
      </c>
    </row>
    <row r="12" customFormat="false" ht="15" hidden="false" customHeight="false" outlineLevel="0" collapsed="false">
      <c r="J12" s="11" t="s">
        <v>115</v>
      </c>
    </row>
    <row r="13" customFormat="false" ht="15" hidden="false" customHeight="false" outlineLevel="0" collapsed="false">
      <c r="J13" s="2" t="n">
        <f aca="false">SUM(J5:J10)</f>
        <v>428</v>
      </c>
    </row>
    <row r="14" customFormat="false" ht="15" hidden="false" customHeight="false" outlineLevel="0" collapsed="false">
      <c r="J14" s="14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1.75" hidden="false" customHeight="true" outlineLevel="0" collapsed="false">
      <c r="A1" s="5" t="s">
        <v>117</v>
      </c>
    </row>
    <row r="2" customFormat="false" ht="18" hidden="false" customHeight="true" outlineLevel="0" collapsed="false">
      <c r="A2" s="6" t="s">
        <v>118</v>
      </c>
    </row>
    <row r="4" customFormat="false" ht="30" hidden="false" customHeight="true" outlineLevel="0" collapsed="false">
      <c r="A4" s="7" t="s">
        <v>119</v>
      </c>
      <c r="B4" s="7" t="s">
        <v>120</v>
      </c>
      <c r="C4" s="7" t="s">
        <v>121</v>
      </c>
      <c r="D4" s="7" t="s">
        <v>82</v>
      </c>
      <c r="E4" s="7" t="s">
        <v>122</v>
      </c>
      <c r="F4" s="7" t="s">
        <v>123</v>
      </c>
      <c r="G4" s="7" t="s">
        <v>85</v>
      </c>
      <c r="H4" s="7" t="s">
        <v>86</v>
      </c>
      <c r="I4" s="7" t="s">
        <v>87</v>
      </c>
      <c r="J4" s="7" t="s">
        <v>124</v>
      </c>
    </row>
    <row r="5" customFormat="false" ht="15" hidden="false" customHeight="false" outlineLevel="0" collapsed="false">
      <c r="A5" s="8" t="s">
        <v>125</v>
      </c>
      <c r="B5" s="13" t="s">
        <v>126</v>
      </c>
      <c r="C5" s="8" t="s">
        <v>100</v>
      </c>
      <c r="D5" s="8" t="s">
        <v>44</v>
      </c>
      <c r="E5" s="8" t="s">
        <v>49</v>
      </c>
      <c r="F5" s="8" t="s">
        <v>127</v>
      </c>
      <c r="G5" s="8" t="s">
        <v>93</v>
      </c>
      <c r="H5" s="8" t="s">
        <v>128</v>
      </c>
      <c r="I5" s="13" t="n">
        <v>45000</v>
      </c>
      <c r="J5" s="13" t="s">
        <v>129</v>
      </c>
    </row>
    <row r="6" customFormat="false" ht="15" hidden="false" customHeight="false" outlineLevel="0" collapsed="false">
      <c r="A6" s="9" t="s">
        <v>130</v>
      </c>
      <c r="B6" s="10" t="s">
        <v>131</v>
      </c>
      <c r="C6" s="9" t="s">
        <v>104</v>
      </c>
      <c r="D6" s="9" t="s">
        <v>52</v>
      </c>
      <c r="E6" s="9" t="s">
        <v>59</v>
      </c>
      <c r="F6" s="9" t="s">
        <v>132</v>
      </c>
      <c r="G6" s="9" t="s">
        <v>93</v>
      </c>
      <c r="H6" s="9" t="s">
        <v>133</v>
      </c>
      <c r="I6" s="10" t="n">
        <v>79000</v>
      </c>
      <c r="J6" s="10" t="s">
        <v>134</v>
      </c>
    </row>
    <row r="7" customFormat="false" ht="15" hidden="false" customHeight="false" outlineLevel="0" collapsed="false">
      <c r="A7" s="8" t="s">
        <v>135</v>
      </c>
      <c r="B7" s="13" t="s">
        <v>136</v>
      </c>
      <c r="C7" s="8" t="s">
        <v>90</v>
      </c>
      <c r="D7" s="8" t="s">
        <v>61</v>
      </c>
      <c r="E7" s="8" t="s">
        <v>66</v>
      </c>
      <c r="F7" s="8" t="s">
        <v>132</v>
      </c>
      <c r="G7" s="8" t="s">
        <v>93</v>
      </c>
      <c r="H7" s="8" t="s">
        <v>114</v>
      </c>
      <c r="I7" s="13" t="n">
        <v>42000</v>
      </c>
      <c r="J7" s="13" t="s">
        <v>137</v>
      </c>
    </row>
    <row r="8" customFormat="false" ht="15" hidden="false" customHeight="false" outlineLevel="0" collapsed="false">
      <c r="A8" s="9" t="s">
        <v>138</v>
      </c>
      <c r="B8" s="10" t="s">
        <v>139</v>
      </c>
      <c r="C8" s="9" t="s">
        <v>104</v>
      </c>
      <c r="D8" s="9" t="s">
        <v>61</v>
      </c>
      <c r="E8" s="9" t="s">
        <v>66</v>
      </c>
      <c r="F8" s="9" t="s">
        <v>132</v>
      </c>
      <c r="G8" s="9" t="s">
        <v>93</v>
      </c>
      <c r="H8" s="9" t="s">
        <v>140</v>
      </c>
      <c r="I8" s="10" t="n">
        <v>79000</v>
      </c>
      <c r="J8" s="10" t="s">
        <v>141</v>
      </c>
    </row>
    <row r="9" customFormat="false" ht="15" hidden="false" customHeight="false" outlineLevel="0" collapsed="false">
      <c r="A9" s="8" t="s">
        <v>142</v>
      </c>
      <c r="B9" s="13" t="s">
        <v>143</v>
      </c>
      <c r="C9" s="8" t="s">
        <v>104</v>
      </c>
      <c r="D9" s="8" t="s">
        <v>68</v>
      </c>
      <c r="E9" s="8" t="s">
        <v>75</v>
      </c>
      <c r="F9" s="8" t="s">
        <v>132</v>
      </c>
      <c r="G9" s="8" t="s">
        <v>93</v>
      </c>
      <c r="H9" s="8" t="s">
        <v>144</v>
      </c>
      <c r="I9" s="13" t="n">
        <v>69000</v>
      </c>
      <c r="J9" s="13" t="s">
        <v>145</v>
      </c>
    </row>
    <row r="10" customFormat="false" ht="15" hidden="false" customHeight="false" outlineLevel="0" collapsed="false">
      <c r="A10" s="9" t="s">
        <v>146</v>
      </c>
      <c r="B10" s="10" t="s">
        <v>147</v>
      </c>
      <c r="C10" s="9" t="s">
        <v>107</v>
      </c>
      <c r="D10" s="9" t="s">
        <v>68</v>
      </c>
      <c r="E10" s="9" t="s">
        <v>75</v>
      </c>
      <c r="F10" s="9" t="s">
        <v>148</v>
      </c>
      <c r="G10" s="9" t="s">
        <v>110</v>
      </c>
      <c r="H10" s="9" t="s">
        <v>149</v>
      </c>
      <c r="I10" s="10" t="n">
        <v>15000</v>
      </c>
      <c r="J10" s="10" t="s">
        <v>150</v>
      </c>
    </row>
    <row r="11" customFormat="false" ht="15" hidden="false" customHeight="false" outlineLevel="0" collapsed="false">
      <c r="A11" s="8" t="s">
        <v>151</v>
      </c>
      <c r="B11" s="13" t="s">
        <v>152</v>
      </c>
      <c r="C11" s="8" t="s">
        <v>95</v>
      </c>
      <c r="D11" s="8" t="s">
        <v>153</v>
      </c>
      <c r="E11" s="8" t="s">
        <v>37</v>
      </c>
      <c r="F11" s="8" t="s">
        <v>37</v>
      </c>
      <c r="G11" s="8" t="s">
        <v>37</v>
      </c>
      <c r="H11" s="8" t="s">
        <v>37</v>
      </c>
      <c r="I11" s="8" t="s">
        <v>37</v>
      </c>
      <c r="J11" s="13" t="s">
        <v>154</v>
      </c>
    </row>
    <row r="12" customFormat="false" ht="15" hidden="false" customHeight="false" outlineLevel="0" collapsed="false">
      <c r="A12" s="9" t="s">
        <v>155</v>
      </c>
      <c r="B12" s="10" t="s">
        <v>156</v>
      </c>
      <c r="C12" s="9" t="s">
        <v>107</v>
      </c>
      <c r="D12" s="9" t="s">
        <v>153</v>
      </c>
      <c r="E12" s="9" t="s">
        <v>37</v>
      </c>
      <c r="F12" s="9" t="s">
        <v>37</v>
      </c>
      <c r="G12" s="9" t="s">
        <v>37</v>
      </c>
      <c r="H12" s="9" t="s">
        <v>37</v>
      </c>
      <c r="I12" s="9" t="s">
        <v>37</v>
      </c>
      <c r="J12" s="1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21.75" hidden="false" customHeight="true" outlineLevel="0" collapsed="false">
      <c r="A1" s="5" t="s">
        <v>158</v>
      </c>
    </row>
    <row r="2" customFormat="false" ht="18" hidden="false" customHeight="true" outlineLevel="0" collapsed="false">
      <c r="A2" s="6" t="s">
        <v>159</v>
      </c>
    </row>
    <row r="4" customFormat="false" ht="30" hidden="false" customHeight="true" outlineLevel="0" collapsed="false">
      <c r="A4" s="7" t="s">
        <v>160</v>
      </c>
      <c r="B4" s="7" t="s">
        <v>161</v>
      </c>
      <c r="C4" s="7" t="s">
        <v>162</v>
      </c>
      <c r="D4" s="7" t="s">
        <v>163</v>
      </c>
      <c r="E4" s="7" t="s">
        <v>26</v>
      </c>
      <c r="F4" s="7" t="s">
        <v>32</v>
      </c>
    </row>
    <row r="5" customFormat="false" ht="15" hidden="false" customHeight="false" outlineLevel="0" collapsed="false">
      <c r="A5" s="8" t="s">
        <v>164</v>
      </c>
      <c r="B5" s="13" t="s">
        <v>165</v>
      </c>
      <c r="C5" s="15" t="n">
        <v>0.15</v>
      </c>
      <c r="D5" s="13" t="s">
        <v>166</v>
      </c>
      <c r="E5" s="8" t="s">
        <v>34</v>
      </c>
      <c r="F5" s="13" t="s">
        <v>167</v>
      </c>
    </row>
    <row r="6" customFormat="false" ht="15" hidden="false" customHeight="false" outlineLevel="0" collapsed="false">
      <c r="A6" s="9" t="s">
        <v>168</v>
      </c>
      <c r="B6" s="10" t="s">
        <v>169</v>
      </c>
      <c r="C6" s="16" t="n">
        <v>0</v>
      </c>
      <c r="D6" s="9" t="s">
        <v>37</v>
      </c>
      <c r="E6" s="9" t="s">
        <v>170</v>
      </c>
      <c r="F6" s="10" t="s">
        <v>171</v>
      </c>
    </row>
    <row r="7" customFormat="false" ht="15" hidden="false" customHeight="false" outlineLevel="0" collapsed="false">
      <c r="A7" s="8" t="s">
        <v>172</v>
      </c>
      <c r="B7" s="13" t="s">
        <v>173</v>
      </c>
      <c r="C7" s="15" t="n">
        <v>0</v>
      </c>
      <c r="D7" s="13" t="s">
        <v>174</v>
      </c>
      <c r="E7" s="8" t="s">
        <v>74</v>
      </c>
      <c r="F7" s="13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6" min="4" style="0" width="14"/>
  </cols>
  <sheetData>
    <row r="1" customFormat="false" ht="21.75" hidden="false" customHeight="true" outlineLevel="0" collapsed="false">
      <c r="A1" s="5" t="s">
        <v>176</v>
      </c>
    </row>
    <row r="2" customFormat="false" ht="18" hidden="false" customHeight="true" outlineLevel="0" collapsed="false">
      <c r="A2" s="6" t="s">
        <v>177</v>
      </c>
    </row>
    <row r="4" customFormat="false" ht="30" hidden="false" customHeight="true" outlineLevel="0" collapsed="false">
      <c r="A4" s="7" t="s">
        <v>178</v>
      </c>
      <c r="B4" s="7" t="s">
        <v>179</v>
      </c>
      <c r="C4" s="7" t="s">
        <v>180</v>
      </c>
      <c r="D4" s="7" t="s">
        <v>181</v>
      </c>
      <c r="E4" s="7" t="s">
        <v>27</v>
      </c>
      <c r="F4" s="7" t="s">
        <v>182</v>
      </c>
    </row>
    <row r="5" customFormat="false" ht="15" hidden="false" customHeight="false" outlineLevel="0" collapsed="false">
      <c r="A5" s="8" t="s">
        <v>183</v>
      </c>
      <c r="B5" s="13" t="s">
        <v>184</v>
      </c>
      <c r="C5" s="13" t="s">
        <v>185</v>
      </c>
      <c r="D5" s="8" t="s">
        <v>170</v>
      </c>
      <c r="E5" s="8" t="s">
        <v>186</v>
      </c>
      <c r="F5" s="13" t="n">
        <v>4</v>
      </c>
    </row>
    <row r="6" customFormat="false" ht="15" hidden="false" customHeight="false" outlineLevel="0" collapsed="false">
      <c r="A6" s="9" t="s">
        <v>187</v>
      </c>
      <c r="B6" s="10" t="s">
        <v>188</v>
      </c>
      <c r="C6" s="10" t="s">
        <v>189</v>
      </c>
      <c r="D6" s="9" t="s">
        <v>190</v>
      </c>
      <c r="E6" s="9" t="s">
        <v>37</v>
      </c>
      <c r="F6" s="10" t="n">
        <v>4</v>
      </c>
    </row>
    <row r="7" customFormat="false" ht="15" hidden="false" customHeight="false" outlineLevel="0" collapsed="false">
      <c r="A7" s="8" t="s">
        <v>191</v>
      </c>
      <c r="B7" s="13" t="s">
        <v>184</v>
      </c>
      <c r="C7" s="13" t="s">
        <v>192</v>
      </c>
      <c r="D7" s="8" t="s">
        <v>193</v>
      </c>
      <c r="E7" s="8" t="s">
        <v>62</v>
      </c>
      <c r="F7" s="13" t="n">
        <v>4</v>
      </c>
    </row>
    <row r="8" customFormat="false" ht="15" hidden="false" customHeight="false" outlineLevel="0" collapsed="false">
      <c r="A8" s="9" t="s">
        <v>194</v>
      </c>
      <c r="B8" s="10" t="s">
        <v>188</v>
      </c>
      <c r="C8" s="10" t="s">
        <v>192</v>
      </c>
      <c r="D8" s="9" t="s">
        <v>195</v>
      </c>
      <c r="E8" s="9" t="s">
        <v>37</v>
      </c>
      <c r="F8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5" t="s">
        <v>196</v>
      </c>
    </row>
    <row r="2" customFormat="false" ht="18" hidden="false" customHeight="true" outlineLevel="0" collapsed="false">
      <c r="A2" s="14" t="s">
        <v>197</v>
      </c>
    </row>
    <row r="4" customFormat="false" ht="30" hidden="false" customHeight="true" outlineLevel="0" collapsed="false">
      <c r="A4" s="7" t="s">
        <v>198</v>
      </c>
      <c r="B4" s="7" t="s">
        <v>199</v>
      </c>
      <c r="C4" s="7" t="s">
        <v>200</v>
      </c>
    </row>
    <row r="5" customFormat="false" ht="15" hidden="false" customHeight="false" outlineLevel="0" collapsed="false">
      <c r="A5" s="8" t="s">
        <v>201</v>
      </c>
      <c r="B5" s="13" t="n">
        <v>52</v>
      </c>
      <c r="C5" s="13" t="s">
        <v>202</v>
      </c>
    </row>
    <row r="6" customFormat="false" ht="15" hidden="false" customHeight="false" outlineLevel="0" collapsed="false">
      <c r="A6" s="9" t="s">
        <v>203</v>
      </c>
      <c r="B6" s="10" t="n">
        <v>1.3</v>
      </c>
      <c r="C6" s="10" t="s">
        <v>204</v>
      </c>
    </row>
    <row r="7" customFormat="false" ht="15" hidden="false" customHeight="false" outlineLevel="0" collapsed="false">
      <c r="A7" s="8" t="s">
        <v>205</v>
      </c>
      <c r="B7" s="13" t="n">
        <v>3</v>
      </c>
      <c r="C7" s="13" t="s">
        <v>206</v>
      </c>
    </row>
    <row r="8" customFormat="false" ht="15" hidden="false" customHeight="false" outlineLevel="0" collapsed="false">
      <c r="A8" s="9" t="s">
        <v>207</v>
      </c>
      <c r="B8" s="10" t="n">
        <v>3</v>
      </c>
      <c r="C8" s="10" t="s">
        <v>208</v>
      </c>
    </row>
    <row r="9" customFormat="false" ht="15" hidden="false" customHeight="false" outlineLevel="0" collapsed="false">
      <c r="A9" s="8" t="s">
        <v>209</v>
      </c>
      <c r="B9" s="13" t="n">
        <v>1</v>
      </c>
      <c r="C9" s="13" t="s">
        <v>210</v>
      </c>
    </row>
    <row r="10" customFormat="false" ht="15" hidden="false" customHeight="false" outlineLevel="0" collapsed="false">
      <c r="A10" s="9" t="s">
        <v>211</v>
      </c>
      <c r="B10" s="10" t="n">
        <v>0.5</v>
      </c>
      <c r="C10" s="10" t="s">
        <v>212</v>
      </c>
    </row>
    <row r="11" customFormat="false" ht="15" hidden="false" customHeight="false" outlineLevel="0" collapsed="false">
      <c r="A11" s="8" t="s">
        <v>213</v>
      </c>
      <c r="B11" s="13" t="n">
        <v>1.5</v>
      </c>
      <c r="C11" s="13" t="s">
        <v>214</v>
      </c>
    </row>
    <row r="12" customFormat="false" ht="15" hidden="false" customHeight="false" outlineLevel="0" collapsed="false">
      <c r="A12" s="9" t="s">
        <v>215</v>
      </c>
      <c r="B12" s="10" t="n">
        <v>0.48</v>
      </c>
      <c r="C12" s="9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5" t="s">
        <v>217</v>
      </c>
    </row>
    <row r="2" customFormat="false" ht="18" hidden="false" customHeight="true" outlineLevel="0" collapsed="false">
      <c r="A2" s="6" t="s">
        <v>218</v>
      </c>
    </row>
    <row r="4" customFormat="false" ht="30" hidden="false" customHeight="true" outlineLevel="0" collapsed="false">
      <c r="A4" s="7" t="s">
        <v>219</v>
      </c>
      <c r="B4" s="7" t="s">
        <v>220</v>
      </c>
      <c r="C4" s="7" t="s">
        <v>221</v>
      </c>
      <c r="D4" s="7" t="s">
        <v>222</v>
      </c>
      <c r="E4" s="7" t="s">
        <v>200</v>
      </c>
    </row>
    <row r="5" customFormat="false" ht="15" hidden="false" customHeight="false" outlineLevel="0" collapsed="false">
      <c r="A5" s="13" t="s">
        <v>223</v>
      </c>
      <c r="B5" s="8" t="s">
        <v>224</v>
      </c>
      <c r="C5" s="8" t="s">
        <v>225</v>
      </c>
      <c r="D5" s="13" t="n">
        <v>2.5</v>
      </c>
      <c r="E5" s="8" t="s">
        <v>226</v>
      </c>
    </row>
    <row r="6" customFormat="false" ht="15" hidden="false" customHeight="false" outlineLevel="0" collapsed="false">
      <c r="A6" s="10" t="s">
        <v>227</v>
      </c>
      <c r="B6" s="9" t="s">
        <v>228</v>
      </c>
      <c r="C6" s="9" t="s">
        <v>229</v>
      </c>
      <c r="D6" s="10" t="n">
        <v>2.5</v>
      </c>
      <c r="E6" s="9" t="s">
        <v>230</v>
      </c>
    </row>
    <row r="7" customFormat="false" ht="15" hidden="false" customHeight="false" outlineLevel="0" collapsed="false">
      <c r="A7" s="13" t="s">
        <v>231</v>
      </c>
      <c r="B7" s="8" t="s">
        <v>232</v>
      </c>
      <c r="C7" s="8" t="s">
        <v>233</v>
      </c>
      <c r="D7" s="13" t="n">
        <v>3</v>
      </c>
      <c r="E7" s="8" t="s">
        <v>234</v>
      </c>
    </row>
    <row r="8" customFormat="false" ht="15" hidden="false" customHeight="false" outlineLevel="0" collapsed="false">
      <c r="A8" s="10" t="s">
        <v>235</v>
      </c>
      <c r="B8" s="9" t="s">
        <v>236</v>
      </c>
      <c r="C8" s="9" t="s">
        <v>237</v>
      </c>
      <c r="D8" s="10" t="n">
        <v>2</v>
      </c>
      <c r="E8" s="9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2"/>
  </cols>
  <sheetData>
    <row r="1" customFormat="false" ht="21.75" hidden="false" customHeight="true" outlineLevel="0" collapsed="false">
      <c r="A1" s="5" t="s">
        <v>239</v>
      </c>
    </row>
    <row r="2" customFormat="false" ht="18" hidden="false" customHeight="true" outlineLevel="0" collapsed="false">
      <c r="A2" s="6" t="s">
        <v>240</v>
      </c>
    </row>
    <row r="4" customFormat="false" ht="30" hidden="false" customHeight="true" outlineLevel="0" collapsed="false">
      <c r="A4" s="7" t="s">
        <v>241</v>
      </c>
      <c r="B4" s="7" t="s">
        <v>26</v>
      </c>
      <c r="C4" s="7" t="s">
        <v>27</v>
      </c>
      <c r="D4" s="7" t="s">
        <v>242</v>
      </c>
      <c r="E4" s="7" t="s">
        <v>243</v>
      </c>
      <c r="F4" s="7" t="s">
        <v>244</v>
      </c>
      <c r="G4" s="7" t="s">
        <v>245</v>
      </c>
    </row>
    <row r="5" customFormat="false" ht="15" hidden="false" customHeight="false" outlineLevel="0" collapsed="false">
      <c r="A5" s="8" t="s">
        <v>246</v>
      </c>
      <c r="B5" s="8" t="s">
        <v>44</v>
      </c>
      <c r="C5" s="8" t="s">
        <v>45</v>
      </c>
      <c r="D5" s="13" t="n">
        <v>25</v>
      </c>
      <c r="E5" s="17" t="n">
        <v>0.65</v>
      </c>
      <c r="F5" s="13" t="s">
        <v>247</v>
      </c>
      <c r="G5" s="8" t="s">
        <v>248</v>
      </c>
    </row>
    <row r="6" customFormat="false" ht="15" hidden="false" customHeight="false" outlineLevel="0" collapsed="false">
      <c r="A6" s="9" t="s">
        <v>249</v>
      </c>
      <c r="B6" s="9" t="s">
        <v>61</v>
      </c>
      <c r="C6" s="9" t="s">
        <v>62</v>
      </c>
      <c r="D6" s="10" t="n">
        <v>28</v>
      </c>
      <c r="E6" s="18" t="n">
        <v>0.62</v>
      </c>
      <c r="F6" s="10" t="s">
        <v>250</v>
      </c>
      <c r="G6" s="9" t="s">
        <v>248</v>
      </c>
    </row>
    <row r="7" customFormat="false" ht="15" hidden="false" customHeight="false" outlineLevel="0" collapsed="false">
      <c r="A7" s="8" t="s">
        <v>251</v>
      </c>
      <c r="B7" s="8" t="s">
        <v>195</v>
      </c>
      <c r="C7" s="8" t="s">
        <v>252</v>
      </c>
      <c r="D7" s="13" t="n">
        <v>45</v>
      </c>
      <c r="E7" s="17" t="n">
        <v>0.25</v>
      </c>
      <c r="F7" s="13" t="s">
        <v>253</v>
      </c>
      <c r="G7" s="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5" min="4" style="0" width="12"/>
  </cols>
  <sheetData>
    <row r="1" customFormat="false" ht="21.75" hidden="false" customHeight="true" outlineLevel="0" collapsed="false">
      <c r="A1" s="19" t="s">
        <v>254</v>
      </c>
    </row>
    <row r="2" customFormat="false" ht="18" hidden="false" customHeight="true" outlineLevel="0" collapsed="false">
      <c r="A2" s="6" t="s">
        <v>255</v>
      </c>
    </row>
    <row r="4" customFormat="false" ht="30" hidden="false" customHeight="true" outlineLevel="0" collapsed="false">
      <c r="A4" s="7" t="s">
        <v>256</v>
      </c>
      <c r="B4" s="7" t="s">
        <v>257</v>
      </c>
      <c r="C4" s="7" t="s">
        <v>258</v>
      </c>
      <c r="D4" s="12" t="s">
        <v>259</v>
      </c>
      <c r="E4" s="7" t="s">
        <v>260</v>
      </c>
    </row>
    <row r="5" customFormat="false" ht="15" hidden="false" customHeight="false" outlineLevel="0" collapsed="false">
      <c r="A5" s="8" t="s">
        <v>261</v>
      </c>
      <c r="B5" s="8" t="s">
        <v>34</v>
      </c>
      <c r="C5" s="13" t="s">
        <v>262</v>
      </c>
      <c r="D5" s="13" t="n">
        <v>75</v>
      </c>
      <c r="E5" s="13" t="n">
        <f aca="false">D5</f>
        <v>75</v>
      </c>
    </row>
    <row r="6" customFormat="false" ht="15" hidden="false" customHeight="false" outlineLevel="0" collapsed="false">
      <c r="A6" s="9" t="s">
        <v>263</v>
      </c>
      <c r="B6" s="9" t="s">
        <v>44</v>
      </c>
      <c r="C6" s="10" t="s">
        <v>264</v>
      </c>
      <c r="D6" s="10" t="n">
        <v>18</v>
      </c>
      <c r="E6" s="10" t="n">
        <f aca="false">E5+D6</f>
        <v>93</v>
      </c>
    </row>
    <row r="7" customFormat="false" ht="15" hidden="false" customHeight="false" outlineLevel="0" collapsed="false">
      <c r="A7" s="8" t="s">
        <v>265</v>
      </c>
      <c r="B7" s="8" t="s">
        <v>52</v>
      </c>
      <c r="C7" s="8" t="s">
        <v>266</v>
      </c>
      <c r="D7" s="13" t="n">
        <v>54</v>
      </c>
      <c r="E7" s="13" t="n">
        <f aca="false">E6+D7</f>
        <v>147</v>
      </c>
    </row>
    <row r="8" customFormat="false" ht="15" hidden="false" customHeight="false" outlineLevel="0" collapsed="false">
      <c r="A8" s="9" t="s">
        <v>267</v>
      </c>
      <c r="B8" s="9" t="s">
        <v>61</v>
      </c>
      <c r="C8" s="10" t="s">
        <v>268</v>
      </c>
      <c r="D8" s="10" t="n">
        <v>45</v>
      </c>
      <c r="E8" s="10" t="n">
        <f aca="false">E7+D8</f>
        <v>192</v>
      </c>
    </row>
    <row r="9" customFormat="false" ht="15" hidden="false" customHeight="false" outlineLevel="0" collapsed="false">
      <c r="A9" s="8" t="s">
        <v>269</v>
      </c>
      <c r="B9" s="8" t="s">
        <v>68</v>
      </c>
      <c r="C9" s="8" t="s">
        <v>270</v>
      </c>
      <c r="D9" s="13" t="n">
        <v>51</v>
      </c>
      <c r="E9" s="13" t="n">
        <f aca="false">E8+D9</f>
        <v>243</v>
      </c>
    </row>
    <row r="10" customFormat="false" ht="15" hidden="false" customHeight="false" outlineLevel="0" collapsed="false">
      <c r="A10" s="9" t="s">
        <v>271</v>
      </c>
      <c r="B10" s="9" t="s">
        <v>272</v>
      </c>
      <c r="C10" s="10" t="s">
        <v>273</v>
      </c>
      <c r="D10" s="10" t="n">
        <v>287</v>
      </c>
      <c r="E10" s="10" t="n">
        <f aca="false">E9+D10</f>
        <v>530</v>
      </c>
    </row>
    <row r="11" customFormat="false" ht="15" hidden="false" customHeight="false" outlineLevel="0" collapsed="false">
      <c r="A11" s="8" t="s">
        <v>274</v>
      </c>
      <c r="B11" s="8" t="s">
        <v>153</v>
      </c>
      <c r="C11" s="13" t="s">
        <v>275</v>
      </c>
      <c r="D11" s="13" t="n">
        <v>0</v>
      </c>
      <c r="E1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5" t="s">
        <v>276</v>
      </c>
    </row>
    <row r="2" customFormat="false" ht="18" hidden="false" customHeight="true" outlineLevel="0" collapsed="false">
      <c r="A2" s="6" t="s">
        <v>277</v>
      </c>
    </row>
    <row r="4" customFormat="false" ht="30" hidden="false" customHeight="true" outlineLevel="0" collapsed="false">
      <c r="A4" s="7" t="s">
        <v>278</v>
      </c>
      <c r="B4" s="7" t="s">
        <v>279</v>
      </c>
      <c r="C4" s="7" t="s">
        <v>280</v>
      </c>
      <c r="D4" s="7" t="s">
        <v>281</v>
      </c>
      <c r="E4" s="7" t="s">
        <v>282</v>
      </c>
    </row>
    <row r="5" customFormat="false" ht="15" hidden="false" customHeight="false" outlineLevel="0" collapsed="false">
      <c r="A5" s="8" t="s">
        <v>36</v>
      </c>
      <c r="B5" s="8" t="s">
        <v>283</v>
      </c>
      <c r="C5" s="13" t="n">
        <v>5</v>
      </c>
      <c r="D5" s="8" t="s">
        <v>37</v>
      </c>
      <c r="E5" s="13" t="s">
        <v>284</v>
      </c>
    </row>
    <row r="6" customFormat="false" ht="15" hidden="false" customHeight="false" outlineLevel="0" collapsed="false">
      <c r="A6" s="9" t="s">
        <v>54</v>
      </c>
      <c r="B6" s="9" t="s">
        <v>285</v>
      </c>
      <c r="C6" s="10" t="n">
        <v>8</v>
      </c>
      <c r="D6" s="9" t="s">
        <v>286</v>
      </c>
      <c r="E6" s="10" t="s">
        <v>287</v>
      </c>
    </row>
    <row r="7" customFormat="false" ht="15" hidden="false" customHeight="false" outlineLevel="0" collapsed="false">
      <c r="A7" s="8" t="s">
        <v>70</v>
      </c>
      <c r="B7" s="8" t="s">
        <v>288</v>
      </c>
      <c r="C7" s="13" t="n">
        <v>13</v>
      </c>
      <c r="D7" s="8" t="s">
        <v>289</v>
      </c>
      <c r="E7" s="13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12"/>
  </cols>
  <sheetData>
    <row r="1" customFormat="false" ht="21.75" hidden="false" customHeight="true" outlineLevel="0" collapsed="false">
      <c r="A1" s="5" t="s">
        <v>291</v>
      </c>
    </row>
    <row r="2" customFormat="false" ht="18" hidden="false" customHeight="true" outlineLevel="0" collapsed="false">
      <c r="A2" s="6" t="s">
        <v>292</v>
      </c>
    </row>
    <row r="4" customFormat="false" ht="30" hidden="false" customHeight="true" outlineLevel="0" collapsed="false">
      <c r="A4" s="7" t="s">
        <v>293</v>
      </c>
      <c r="B4" s="7" t="s">
        <v>294</v>
      </c>
      <c r="C4" s="7" t="s">
        <v>295</v>
      </c>
      <c r="D4" s="7" t="s">
        <v>296</v>
      </c>
      <c r="E4" s="7" t="s">
        <v>297</v>
      </c>
      <c r="F4" s="7" t="s">
        <v>298</v>
      </c>
    </row>
    <row r="5" customFormat="false" ht="15" hidden="false" customHeight="false" outlineLevel="0" collapsed="false">
      <c r="A5" s="13" t="s">
        <v>299</v>
      </c>
      <c r="B5" s="8" t="s">
        <v>300</v>
      </c>
      <c r="C5" s="13" t="s">
        <v>301</v>
      </c>
      <c r="D5" s="8" t="s">
        <v>302</v>
      </c>
      <c r="E5" s="8" t="s">
        <v>283</v>
      </c>
      <c r="F5" s="8" t="s">
        <v>303</v>
      </c>
    </row>
    <row r="6" customFormat="false" ht="15" hidden="false" customHeight="false" outlineLevel="0" collapsed="false">
      <c r="A6" s="10" t="s">
        <v>304</v>
      </c>
      <c r="B6" s="9" t="s">
        <v>305</v>
      </c>
      <c r="C6" s="10" t="s">
        <v>306</v>
      </c>
      <c r="D6" s="9" t="s">
        <v>307</v>
      </c>
      <c r="E6" s="9" t="s">
        <v>283</v>
      </c>
      <c r="F6" s="9" t="s">
        <v>303</v>
      </c>
    </row>
    <row r="7" customFormat="false" ht="15" hidden="false" customHeight="false" outlineLevel="0" collapsed="false">
      <c r="A7" s="13" t="s">
        <v>308</v>
      </c>
      <c r="B7" s="8" t="s">
        <v>309</v>
      </c>
      <c r="C7" s="13" t="s">
        <v>310</v>
      </c>
      <c r="D7" s="8" t="s">
        <v>311</v>
      </c>
      <c r="E7" s="8" t="s">
        <v>283</v>
      </c>
      <c r="F7" s="8" t="s">
        <v>303</v>
      </c>
    </row>
    <row r="8" customFormat="false" ht="15" hidden="false" customHeight="false" outlineLevel="0" collapsed="false">
      <c r="A8" s="10" t="s">
        <v>312</v>
      </c>
      <c r="B8" s="9" t="s">
        <v>313</v>
      </c>
      <c r="C8" s="10" t="s">
        <v>314</v>
      </c>
      <c r="D8" s="9" t="s">
        <v>315</v>
      </c>
      <c r="E8" s="9" t="s">
        <v>283</v>
      </c>
      <c r="F8" s="9" t="s">
        <v>303</v>
      </c>
    </row>
    <row r="9" customFormat="false" ht="15" hidden="false" customHeight="false" outlineLevel="0" collapsed="false">
      <c r="A9" s="13" t="s">
        <v>316</v>
      </c>
      <c r="B9" s="8" t="s">
        <v>317</v>
      </c>
      <c r="C9" s="13" t="s">
        <v>318</v>
      </c>
      <c r="D9" s="8" t="s">
        <v>319</v>
      </c>
      <c r="E9" s="8" t="s">
        <v>283</v>
      </c>
      <c r="F9" s="8" t="s">
        <v>303</v>
      </c>
    </row>
    <row r="10" customFormat="false" ht="15" hidden="false" customHeight="false" outlineLevel="0" collapsed="false">
      <c r="A10" s="10" t="s">
        <v>320</v>
      </c>
      <c r="B10" s="9" t="s">
        <v>321</v>
      </c>
      <c r="C10" s="9" t="s">
        <v>322</v>
      </c>
      <c r="D10" s="9" t="s">
        <v>323</v>
      </c>
      <c r="E10" s="9" t="s">
        <v>285</v>
      </c>
      <c r="F10" s="9" t="s">
        <v>324</v>
      </c>
    </row>
    <row r="11" customFormat="false" ht="15" hidden="false" customHeight="false" outlineLevel="0" collapsed="false">
      <c r="A11" s="13" t="s">
        <v>325</v>
      </c>
      <c r="B11" s="13" t="s">
        <v>326</v>
      </c>
      <c r="C11" s="13" t="s">
        <v>327</v>
      </c>
      <c r="D11" s="8" t="s">
        <v>328</v>
      </c>
      <c r="E11" s="8" t="s">
        <v>285</v>
      </c>
      <c r="F11" s="8" t="s">
        <v>324</v>
      </c>
    </row>
    <row r="12" customFormat="false" ht="15" hidden="false" customHeight="false" outlineLevel="0" collapsed="false">
      <c r="A12" s="10" t="s">
        <v>329</v>
      </c>
      <c r="B12" s="9" t="s">
        <v>330</v>
      </c>
      <c r="C12" s="10" t="s">
        <v>331</v>
      </c>
      <c r="D12" s="9" t="s">
        <v>332</v>
      </c>
      <c r="E12" s="9" t="s">
        <v>285</v>
      </c>
      <c r="F12" s="9" t="s">
        <v>324</v>
      </c>
    </row>
    <row r="13" customFormat="false" ht="15" hidden="false" customHeight="false" outlineLevel="0" collapsed="false">
      <c r="A13" s="13" t="s">
        <v>333</v>
      </c>
      <c r="B13" s="8" t="s">
        <v>334</v>
      </c>
      <c r="C13" s="8" t="s">
        <v>335</v>
      </c>
      <c r="D13" s="8" t="s">
        <v>336</v>
      </c>
      <c r="E13" s="8" t="s">
        <v>288</v>
      </c>
      <c r="F13" s="8" t="s">
        <v>337</v>
      </c>
    </row>
    <row r="14" customFormat="false" ht="15" hidden="false" customHeight="false" outlineLevel="0" collapsed="false">
      <c r="A14" s="10" t="s">
        <v>338</v>
      </c>
      <c r="B14" s="9" t="s">
        <v>339</v>
      </c>
      <c r="C14" s="10" t="s">
        <v>340</v>
      </c>
      <c r="D14" s="9" t="s">
        <v>341</v>
      </c>
      <c r="E14" s="9" t="s">
        <v>288</v>
      </c>
      <c r="F14" s="9" t="s">
        <v>337</v>
      </c>
    </row>
    <row r="15" customFormat="false" ht="15" hidden="false" customHeight="false" outlineLevel="0" collapsed="false">
      <c r="A15" s="13" t="s">
        <v>342</v>
      </c>
      <c r="B15" s="13" t="s">
        <v>343</v>
      </c>
      <c r="C15" s="13" t="s">
        <v>344</v>
      </c>
      <c r="D15" s="8" t="s">
        <v>345</v>
      </c>
      <c r="E15" s="8" t="s">
        <v>288</v>
      </c>
      <c r="F15" s="8" t="s">
        <v>337</v>
      </c>
    </row>
    <row r="16" customFormat="false" ht="15" hidden="false" customHeight="false" outlineLevel="0" collapsed="false">
      <c r="A16" s="10" t="s">
        <v>346</v>
      </c>
      <c r="B16" s="10" t="s">
        <v>347</v>
      </c>
      <c r="C16" s="10" t="s">
        <v>348</v>
      </c>
      <c r="D16" s="9" t="s">
        <v>349</v>
      </c>
      <c r="E16" s="9" t="s">
        <v>288</v>
      </c>
      <c r="F16" s="9" t="s">
        <v>337</v>
      </c>
    </row>
    <row r="17" customFormat="false" ht="15" hidden="false" customHeight="false" outlineLevel="0" collapsed="false">
      <c r="A17" s="13" t="s">
        <v>350</v>
      </c>
      <c r="B17" s="13" t="s">
        <v>351</v>
      </c>
      <c r="C17" s="8" t="s">
        <v>352</v>
      </c>
      <c r="D17" s="8" t="s">
        <v>353</v>
      </c>
      <c r="E17" s="8" t="s">
        <v>288</v>
      </c>
      <c r="F17" s="8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1.75" hidden="false" customHeight="true" outlineLevel="0" collapsed="false">
      <c r="A1" s="5" t="s">
        <v>354</v>
      </c>
    </row>
    <row r="2" customFormat="false" ht="18" hidden="false" customHeight="true" outlineLevel="0" collapsed="false">
      <c r="A2" s="6" t="s">
        <v>355</v>
      </c>
    </row>
    <row r="4" customFormat="false" ht="30" hidden="false" customHeight="true" outlineLevel="0" collapsed="false">
      <c r="A4" s="7" t="s">
        <v>356</v>
      </c>
      <c r="B4" s="7" t="s">
        <v>26</v>
      </c>
      <c r="C4" s="7" t="s">
        <v>357</v>
      </c>
      <c r="D4" s="7" t="s">
        <v>358</v>
      </c>
      <c r="E4" s="7" t="s">
        <v>32</v>
      </c>
    </row>
    <row r="5" customFormat="false" ht="15" hidden="false" customHeight="false" outlineLevel="0" collapsed="false">
      <c r="A5" s="13" t="s">
        <v>359</v>
      </c>
      <c r="B5" s="8" t="s">
        <v>74</v>
      </c>
      <c r="C5" s="13" t="n">
        <v>14</v>
      </c>
      <c r="D5" s="17" t="n">
        <v>0.45</v>
      </c>
      <c r="E5" s="13" t="s">
        <v>360</v>
      </c>
    </row>
    <row r="6" customFormat="false" ht="15" hidden="false" customHeight="false" outlineLevel="0" collapsed="false">
      <c r="A6" s="10" t="s">
        <v>361</v>
      </c>
      <c r="B6" s="9" t="s">
        <v>74</v>
      </c>
      <c r="C6" s="10" t="n">
        <v>14</v>
      </c>
      <c r="D6" s="18" t="n">
        <v>0.45</v>
      </c>
      <c r="E6" s="10" t="s">
        <v>360</v>
      </c>
    </row>
    <row r="7" customFormat="false" ht="15" hidden="false" customHeight="false" outlineLevel="0" collapsed="false">
      <c r="A7" s="13" t="s">
        <v>362</v>
      </c>
      <c r="B7" s="8" t="s">
        <v>74</v>
      </c>
      <c r="C7" s="13" t="n">
        <v>14</v>
      </c>
      <c r="D7" s="17" t="n">
        <v>0.45</v>
      </c>
      <c r="E7" s="13" t="s">
        <v>360</v>
      </c>
    </row>
    <row r="8" customFormat="false" ht="15" hidden="false" customHeight="false" outlineLevel="0" collapsed="false">
      <c r="A8" s="10" t="s">
        <v>363</v>
      </c>
      <c r="B8" s="9" t="s">
        <v>74</v>
      </c>
      <c r="C8" s="10" t="n">
        <v>14</v>
      </c>
      <c r="D8" s="18" t="n">
        <v>0.45</v>
      </c>
      <c r="E8" s="10" t="s">
        <v>360</v>
      </c>
    </row>
    <row r="9" customFormat="false" ht="15" hidden="false" customHeight="false" outlineLevel="0" collapsed="false">
      <c r="A9" s="13" t="s">
        <v>364</v>
      </c>
      <c r="B9" s="8" t="s">
        <v>74</v>
      </c>
      <c r="C9" s="13" t="n">
        <v>14</v>
      </c>
      <c r="D9" s="17" t="n">
        <v>0.45</v>
      </c>
      <c r="E9" s="13" t="s">
        <v>360</v>
      </c>
    </row>
    <row r="10" customFormat="false" ht="15" hidden="false" customHeight="false" outlineLevel="0" collapsed="false">
      <c r="A10" s="10" t="s">
        <v>365</v>
      </c>
      <c r="B10" s="9" t="s">
        <v>74</v>
      </c>
      <c r="C10" s="10" t="n">
        <v>14</v>
      </c>
      <c r="D10" s="18" t="n">
        <v>0.45</v>
      </c>
      <c r="E10" s="10" t="s">
        <v>360</v>
      </c>
    </row>
    <row r="11" customFormat="false" ht="15" hidden="false" customHeight="false" outlineLevel="0" collapsed="false">
      <c r="A11" s="13" t="s">
        <v>366</v>
      </c>
      <c r="B11" s="8" t="s">
        <v>74</v>
      </c>
      <c r="C11" s="13" t="n">
        <v>14</v>
      </c>
      <c r="D11" s="17" t="n">
        <v>0.45</v>
      </c>
      <c r="E11" s="13" t="s">
        <v>360</v>
      </c>
    </row>
    <row r="12" customFormat="false" ht="15" hidden="false" customHeight="false" outlineLevel="0" collapsed="false">
      <c r="A12" s="10" t="s">
        <v>367</v>
      </c>
      <c r="B12" s="9" t="s">
        <v>74</v>
      </c>
      <c r="C12" s="10" t="n">
        <v>14</v>
      </c>
      <c r="D12" s="18" t="n">
        <v>0.45</v>
      </c>
      <c r="E12" s="10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5" t="s">
        <v>368</v>
      </c>
    </row>
    <row r="2" customFormat="false" ht="18" hidden="false" customHeight="true" outlineLevel="0" collapsed="false">
      <c r="A2" s="14" t="s">
        <v>369</v>
      </c>
    </row>
    <row r="4" customFormat="false" ht="30" hidden="false" customHeight="true" outlineLevel="0" collapsed="false">
      <c r="A4" s="7" t="s">
        <v>25</v>
      </c>
      <c r="B4" s="7" t="s">
        <v>370</v>
      </c>
      <c r="C4" s="7" t="s">
        <v>371</v>
      </c>
      <c r="D4" s="7" t="s">
        <v>372</v>
      </c>
      <c r="E4" s="7" t="s">
        <v>373</v>
      </c>
    </row>
    <row r="5" customFormat="false" ht="15" hidden="false" customHeight="false" outlineLevel="0" collapsed="false">
      <c r="A5" s="8" t="s">
        <v>33</v>
      </c>
      <c r="B5" s="13" t="n">
        <v>20</v>
      </c>
      <c r="C5" s="13" t="n">
        <v>19.7</v>
      </c>
      <c r="D5" s="17" t="n">
        <f aca="false">C5/B5</f>
        <v>0.985</v>
      </c>
      <c r="E5" s="13" t="n">
        <v>32082</v>
      </c>
    </row>
    <row r="6" customFormat="false" ht="15" hidden="false" customHeight="false" outlineLevel="0" collapsed="false">
      <c r="A6" s="9" t="s">
        <v>39</v>
      </c>
      <c r="B6" s="10" t="n">
        <v>22</v>
      </c>
      <c r="C6" s="10" t="n">
        <v>21.5</v>
      </c>
      <c r="D6" s="18" t="n">
        <f aca="false">C6/B6</f>
        <v>0.977272727272727</v>
      </c>
      <c r="E6" s="10" t="n">
        <v>35290</v>
      </c>
    </row>
    <row r="7" customFormat="false" ht="15" hidden="false" customHeight="false" outlineLevel="0" collapsed="false">
      <c r="A7" s="8" t="s">
        <v>43</v>
      </c>
      <c r="B7" s="13" t="n">
        <v>28</v>
      </c>
      <c r="C7" s="13" t="n">
        <v>27.7</v>
      </c>
      <c r="D7" s="17" t="n">
        <f aca="false">C7/B7</f>
        <v>0.989285714285714</v>
      </c>
      <c r="E7" s="13" t="n">
        <v>44915</v>
      </c>
    </row>
    <row r="8" customFormat="false" ht="15" hidden="false" customHeight="false" outlineLevel="0" collapsed="false">
      <c r="A8" s="9" t="s">
        <v>47</v>
      </c>
      <c r="B8" s="10" t="n">
        <v>30</v>
      </c>
      <c r="C8" s="10" t="n">
        <v>29.9</v>
      </c>
      <c r="D8" s="18" t="n">
        <f aca="false">C8/B8</f>
        <v>0.996666666666667</v>
      </c>
      <c r="E8" s="10" t="n">
        <v>48123</v>
      </c>
    </row>
    <row r="9" customFormat="false" ht="15" hidden="false" customHeight="false" outlineLevel="0" collapsed="false">
      <c r="A9" s="8" t="s">
        <v>51</v>
      </c>
      <c r="B9" s="13" t="n">
        <v>80</v>
      </c>
      <c r="C9" s="13" t="n">
        <v>87.9</v>
      </c>
      <c r="D9" s="17" t="n">
        <f aca="false">C9/B9</f>
        <v>1.09875</v>
      </c>
      <c r="E9" s="13" t="n">
        <v>93656</v>
      </c>
    </row>
    <row r="10" customFormat="false" ht="15" hidden="false" customHeight="false" outlineLevel="0" collapsed="false">
      <c r="A10" s="9" t="s">
        <v>57</v>
      </c>
      <c r="B10" s="10" t="n">
        <v>88</v>
      </c>
      <c r="C10" s="10" t="n">
        <v>88.2</v>
      </c>
      <c r="D10" s="18" t="n">
        <f aca="false">C10/B10</f>
        <v>1.00227272727273</v>
      </c>
      <c r="E10" s="10" t="n">
        <v>103021</v>
      </c>
    </row>
    <row r="11" customFormat="false" ht="15" hidden="false" customHeight="false" outlineLevel="0" collapsed="false">
      <c r="A11" s="8" t="s">
        <v>60</v>
      </c>
      <c r="B11" s="13" t="n">
        <v>112</v>
      </c>
      <c r="C11" s="13" t="n">
        <v>121.2</v>
      </c>
      <c r="D11" s="17" t="n">
        <f aca="false">C11/B11</f>
        <v>1.08214285714286</v>
      </c>
      <c r="E11" s="13" t="n">
        <v>131118</v>
      </c>
    </row>
    <row r="12" customFormat="false" ht="15" hidden="false" customHeight="false" outlineLevel="0" collapsed="false">
      <c r="A12" s="9" t="s">
        <v>64</v>
      </c>
      <c r="B12" s="10" t="n">
        <v>120</v>
      </c>
      <c r="C12" s="10" t="n">
        <v>141.9</v>
      </c>
      <c r="D12" s="18" t="n">
        <f aca="false">C12/B12</f>
        <v>1.1825</v>
      </c>
      <c r="E12" s="10" t="n">
        <v>140460</v>
      </c>
    </row>
    <row r="13" customFormat="false" ht="15" hidden="false" customHeight="false" outlineLevel="0" collapsed="false">
      <c r="A13" s="8" t="s">
        <v>67</v>
      </c>
      <c r="B13" s="13" t="n">
        <v>200</v>
      </c>
      <c r="C13" s="13" t="n">
        <v>228.7</v>
      </c>
      <c r="D13" s="17" t="n">
        <f aca="false">C13/B13</f>
        <v>1.1435</v>
      </c>
      <c r="E13" s="13" t="n">
        <v>255908</v>
      </c>
    </row>
    <row r="14" customFormat="false" ht="15" hidden="false" customHeight="false" outlineLevel="0" collapsed="false">
      <c r="A14" s="9" t="s">
        <v>73</v>
      </c>
      <c r="B14" s="10" t="n">
        <v>167.4</v>
      </c>
      <c r="C14" s="10" t="n">
        <v>178.2</v>
      </c>
      <c r="D14" s="18" t="n">
        <f aca="false">C14/B14</f>
        <v>1.06451612903226</v>
      </c>
      <c r="E14" s="10" t="n">
        <v>214190</v>
      </c>
    </row>
    <row r="16" customFormat="false" ht="15" hidden="false" customHeight="false" outlineLevel="0" collapsed="false">
      <c r="A16" s="14" t="s">
        <v>374</v>
      </c>
    </row>
    <row r="17" customFormat="false" ht="15" hidden="false" customHeight="false" outlineLevel="0" collapsed="false">
      <c r="A17" s="6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21.75" hidden="false" customHeight="true" outlineLevel="0" collapsed="false">
      <c r="A1" s="5" t="s">
        <v>376</v>
      </c>
    </row>
    <row r="2" customFormat="false" ht="18" hidden="false" customHeight="true" outlineLevel="0" collapsed="false">
      <c r="A2" s="6" t="s">
        <v>377</v>
      </c>
    </row>
    <row r="4" customFormat="false" ht="30" hidden="false" customHeight="true" outlineLevel="0" collapsed="false">
      <c r="A4" s="7" t="s">
        <v>121</v>
      </c>
      <c r="B4" s="7" t="s">
        <v>378</v>
      </c>
      <c r="C4" s="7" t="s">
        <v>379</v>
      </c>
      <c r="D4" s="7" t="s">
        <v>380</v>
      </c>
    </row>
    <row r="5" customFormat="false" ht="15" hidden="false" customHeight="false" outlineLevel="0" collapsed="false">
      <c r="A5" s="8" t="s">
        <v>90</v>
      </c>
      <c r="B5" s="13" t="s">
        <v>381</v>
      </c>
      <c r="C5" s="8" t="s">
        <v>382</v>
      </c>
      <c r="D5" s="13" t="n">
        <v>3</v>
      </c>
    </row>
    <row r="6" customFormat="false" ht="15" hidden="false" customHeight="false" outlineLevel="0" collapsed="false">
      <c r="A6" s="9" t="s">
        <v>90</v>
      </c>
      <c r="B6" s="10" t="s">
        <v>383</v>
      </c>
      <c r="C6" s="9" t="s">
        <v>384</v>
      </c>
      <c r="D6" s="10" t="n">
        <v>1</v>
      </c>
    </row>
    <row r="7" customFormat="false" ht="15" hidden="false" customHeight="false" outlineLevel="0" collapsed="false">
      <c r="A7" s="8" t="s">
        <v>90</v>
      </c>
      <c r="B7" s="13" t="s">
        <v>385</v>
      </c>
      <c r="C7" s="8" t="s">
        <v>384</v>
      </c>
      <c r="D7" s="13" t="n">
        <v>1</v>
      </c>
    </row>
    <row r="8" customFormat="false" ht="15" hidden="false" customHeight="false" outlineLevel="0" collapsed="false">
      <c r="A8" s="9" t="s">
        <v>90</v>
      </c>
      <c r="B8" s="10" t="s">
        <v>386</v>
      </c>
      <c r="C8" s="9" t="s">
        <v>387</v>
      </c>
      <c r="D8" s="10" t="n">
        <v>0.3</v>
      </c>
    </row>
    <row r="9" customFormat="false" ht="15" hidden="false" customHeight="false" outlineLevel="0" collapsed="false">
      <c r="A9" s="8" t="s">
        <v>90</v>
      </c>
      <c r="B9" s="13" t="s">
        <v>388</v>
      </c>
      <c r="C9" s="8" t="s">
        <v>387</v>
      </c>
      <c r="D9" s="13" t="n">
        <v>0.3</v>
      </c>
    </row>
    <row r="10" customFormat="false" ht="15" hidden="false" customHeight="false" outlineLevel="0" collapsed="false">
      <c r="A10" s="9" t="s">
        <v>95</v>
      </c>
      <c r="B10" s="9" t="s">
        <v>389</v>
      </c>
      <c r="C10" s="9" t="s">
        <v>382</v>
      </c>
      <c r="D10" s="10" t="n">
        <v>3</v>
      </c>
    </row>
    <row r="11" customFormat="false" ht="15" hidden="false" customHeight="false" outlineLevel="0" collapsed="false">
      <c r="A11" s="8" t="s">
        <v>95</v>
      </c>
      <c r="B11" s="13" t="s">
        <v>390</v>
      </c>
      <c r="C11" s="8" t="s">
        <v>384</v>
      </c>
      <c r="D11" s="13" t="n">
        <v>1</v>
      </c>
    </row>
    <row r="12" customFormat="false" ht="15" hidden="false" customHeight="false" outlineLevel="0" collapsed="false">
      <c r="A12" s="9" t="s">
        <v>95</v>
      </c>
      <c r="B12" s="10" t="s">
        <v>391</v>
      </c>
      <c r="C12" s="9" t="s">
        <v>384</v>
      </c>
      <c r="D12" s="10" t="n">
        <v>1</v>
      </c>
    </row>
    <row r="13" customFormat="false" ht="15" hidden="false" customHeight="false" outlineLevel="0" collapsed="false">
      <c r="A13" s="8" t="s">
        <v>95</v>
      </c>
      <c r="B13" s="13" t="s">
        <v>392</v>
      </c>
      <c r="C13" s="8" t="s">
        <v>387</v>
      </c>
      <c r="D13" s="13" t="n">
        <v>0.3</v>
      </c>
    </row>
    <row r="14" customFormat="false" ht="15" hidden="false" customHeight="false" outlineLevel="0" collapsed="false">
      <c r="A14" s="9" t="s">
        <v>100</v>
      </c>
      <c r="B14" s="10" t="s">
        <v>393</v>
      </c>
      <c r="C14" s="9" t="s">
        <v>382</v>
      </c>
      <c r="D14" s="10" t="n">
        <v>3</v>
      </c>
    </row>
    <row r="15" customFormat="false" ht="15" hidden="false" customHeight="false" outlineLevel="0" collapsed="false">
      <c r="A15" s="8" t="s">
        <v>100</v>
      </c>
      <c r="B15" s="13" t="s">
        <v>394</v>
      </c>
      <c r="C15" s="8" t="s">
        <v>384</v>
      </c>
      <c r="D15" s="13" t="n">
        <v>1</v>
      </c>
    </row>
    <row r="16" customFormat="false" ht="15" hidden="false" customHeight="false" outlineLevel="0" collapsed="false">
      <c r="A16" s="9" t="s">
        <v>104</v>
      </c>
      <c r="B16" s="10" t="s">
        <v>395</v>
      </c>
      <c r="C16" s="9" t="s">
        <v>382</v>
      </c>
      <c r="D16" s="10" t="n">
        <v>3</v>
      </c>
    </row>
    <row r="17" customFormat="false" ht="15" hidden="false" customHeight="false" outlineLevel="0" collapsed="false">
      <c r="A17" s="8" t="s">
        <v>104</v>
      </c>
      <c r="B17" s="13" t="s">
        <v>396</v>
      </c>
      <c r="C17" s="8" t="s">
        <v>384</v>
      </c>
      <c r="D17" s="13" t="n">
        <v>1</v>
      </c>
    </row>
    <row r="18" customFormat="false" ht="15" hidden="false" customHeight="false" outlineLevel="0" collapsed="false">
      <c r="A18" s="9" t="s">
        <v>104</v>
      </c>
      <c r="B18" s="10" t="s">
        <v>397</v>
      </c>
      <c r="C18" s="9" t="s">
        <v>387</v>
      </c>
      <c r="D18" s="10" t="n">
        <v>0.3</v>
      </c>
    </row>
    <row r="19" customFormat="false" ht="15" hidden="false" customHeight="false" outlineLevel="0" collapsed="false">
      <c r="A19" s="8" t="s">
        <v>107</v>
      </c>
      <c r="B19" s="13" t="s">
        <v>398</v>
      </c>
      <c r="C19" s="8" t="s">
        <v>384</v>
      </c>
      <c r="D19" s="13" t="n">
        <v>1</v>
      </c>
    </row>
    <row r="20" customFormat="false" ht="15" hidden="false" customHeight="false" outlineLevel="0" collapsed="false">
      <c r="A20" s="9" t="s">
        <v>107</v>
      </c>
      <c r="B20" s="10" t="s">
        <v>399</v>
      </c>
      <c r="C20" s="9" t="s">
        <v>387</v>
      </c>
      <c r="D20" s="10" t="n">
        <v>0.3</v>
      </c>
    </row>
    <row r="21" customFormat="false" ht="15" hidden="false" customHeight="false" outlineLevel="0" collapsed="false">
      <c r="A21" s="8" t="s">
        <v>107</v>
      </c>
      <c r="B21" s="13" t="s">
        <v>400</v>
      </c>
      <c r="C21" s="8" t="s">
        <v>387</v>
      </c>
      <c r="D21" s="13" t="n">
        <v>0.3</v>
      </c>
    </row>
    <row r="22" customFormat="false" ht="15" hidden="false" customHeight="false" outlineLevel="0" collapsed="false">
      <c r="A22" s="9" t="s">
        <v>107</v>
      </c>
      <c r="B22" s="10" t="s">
        <v>401</v>
      </c>
      <c r="C22" s="9" t="s">
        <v>387</v>
      </c>
      <c r="D22" s="10" t="n">
        <v>0.3</v>
      </c>
    </row>
    <row r="23" customFormat="false" ht="15" hidden="false" customHeight="false" outlineLevel="0" collapsed="false">
      <c r="A23" s="8" t="s">
        <v>107</v>
      </c>
      <c r="B23" s="13" t="s">
        <v>402</v>
      </c>
      <c r="C23" s="8" t="s">
        <v>387</v>
      </c>
      <c r="D23" s="13" t="n">
        <v>0.3</v>
      </c>
    </row>
    <row r="24" customFormat="false" ht="15" hidden="false" customHeight="false" outlineLevel="0" collapsed="false">
      <c r="A24" s="9" t="s">
        <v>112</v>
      </c>
      <c r="B24" s="10" t="s">
        <v>403</v>
      </c>
      <c r="C24" s="9" t="s">
        <v>382</v>
      </c>
      <c r="D24" s="10" t="n">
        <v>3</v>
      </c>
    </row>
    <row r="25" customFormat="false" ht="15" hidden="false" customHeight="false" outlineLevel="0" collapsed="false">
      <c r="A25" s="8" t="s">
        <v>112</v>
      </c>
      <c r="B25" s="13" t="s">
        <v>404</v>
      </c>
      <c r="C25" s="8" t="s">
        <v>384</v>
      </c>
      <c r="D25" s="1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2"/>
  </cols>
  <sheetData>
    <row r="1" customFormat="false" ht="21.75" hidden="false" customHeight="true" outlineLevel="0" collapsed="false">
      <c r="A1" s="5" t="s">
        <v>405</v>
      </c>
    </row>
    <row r="2" customFormat="false" ht="18" hidden="false" customHeight="true" outlineLevel="0" collapsed="false">
      <c r="A2" s="6" t="s">
        <v>406</v>
      </c>
    </row>
    <row r="4" customFormat="false" ht="30" hidden="false" customHeight="true" outlineLevel="0" collapsed="false">
      <c r="A4" s="7" t="s">
        <v>407</v>
      </c>
      <c r="B4" s="7" t="s">
        <v>408</v>
      </c>
      <c r="C4" s="12" t="s">
        <v>409</v>
      </c>
      <c r="D4" s="7" t="s">
        <v>410</v>
      </c>
      <c r="E4" s="7" t="s">
        <v>411</v>
      </c>
      <c r="F4" s="7" t="s">
        <v>412</v>
      </c>
    </row>
    <row r="5" customFormat="false" ht="15" hidden="false" customHeight="false" outlineLevel="0" collapsed="false">
      <c r="A5" s="8" t="s">
        <v>382</v>
      </c>
      <c r="B5" s="13" t="n">
        <v>3</v>
      </c>
      <c r="C5" s="13" t="n">
        <v>129</v>
      </c>
      <c r="D5" s="13" t="n">
        <v>7740</v>
      </c>
      <c r="E5" s="20" t="n">
        <f aca="false">B5/B6</f>
        <v>3</v>
      </c>
      <c r="F5" s="20" t="n">
        <f aca="false">D5/D6</f>
        <v>3.04006284367636</v>
      </c>
    </row>
    <row r="6" customFormat="false" ht="15" hidden="false" customHeight="false" outlineLevel="0" collapsed="false">
      <c r="A6" s="9" t="s">
        <v>384</v>
      </c>
      <c r="B6" s="10" t="n">
        <v>1</v>
      </c>
      <c r="C6" s="10" t="n">
        <v>181</v>
      </c>
      <c r="D6" s="10" t="n">
        <v>2546</v>
      </c>
      <c r="E6" s="21" t="n">
        <f aca="false">B6/B6</f>
        <v>1</v>
      </c>
      <c r="F6" s="21" t="n">
        <f aca="false">D6/D6</f>
        <v>1</v>
      </c>
    </row>
    <row r="7" customFormat="false" ht="15" hidden="false" customHeight="false" outlineLevel="0" collapsed="false">
      <c r="A7" s="8" t="s">
        <v>387</v>
      </c>
      <c r="B7" s="13" t="n">
        <v>0.3</v>
      </c>
      <c r="C7" s="13" t="n">
        <v>118</v>
      </c>
      <c r="D7" s="13" t="n">
        <v>858</v>
      </c>
      <c r="E7" s="20" t="n">
        <f aca="false">B7/B6</f>
        <v>0.3</v>
      </c>
      <c r="F7" s="20" t="n">
        <f aca="false">D7/D6</f>
        <v>0.336999214454046</v>
      </c>
    </row>
    <row r="9" customFormat="false" ht="15" hidden="false" customHeight="false" outlineLevel="0" collapsed="false">
      <c r="A9" s="14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2026-08-17T08:47:17Z</dcterms:created>
  <dc:creator>openpyxl</dc:creator>
  <dc:description/>
  <dc:language>en-US</dc:language>
  <cp:lastModifiedBy/>
  <dcterms:modified xsi:type="dcterms:W3CDTF">2026-08-17T08:47:18Z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